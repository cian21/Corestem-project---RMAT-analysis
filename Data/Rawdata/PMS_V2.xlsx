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roject\Corestem project - RMAT analysis\Data\Rawdata\"/>
    </mc:Choice>
  </mc:AlternateContent>
  <bookViews>
    <workbookView xWindow="0" yWindow="0" windowWidth="28800" windowHeight="12390" firstSheet="11" activeTab="14"/>
  </bookViews>
  <sheets>
    <sheet name="Group_subset" sheetId="3" r:id="rId1"/>
    <sheet name="Main" sheetId="4" r:id="rId2"/>
    <sheet name="All_MA_subset" sheetId="5" r:id="rId3"/>
    <sheet name="All_MA_subset_ALSFRSR" sheetId="7" r:id="rId4"/>
    <sheet name="TX_ALSFRSR_date_table" sheetId="8" r:id="rId5"/>
    <sheet name="TX_ALSFRSR_corresponding_table" sheetId="9" r:id="rId6"/>
    <sheet name="TX_cytokine_date_table" sheetId="10" r:id="rId7"/>
    <sheet name="Tx_cytokine_full_table" sheetId="11" r:id="rId8"/>
    <sheet name="Tx_ALSFRSR_imputed" sheetId="12" r:id="rId9"/>
    <sheet name="Tx_cytokine_model" sheetId="13" r:id="rId10"/>
    <sheet name="Tx_covariates" sheetId="14" r:id="rId11"/>
    <sheet name="Tx_change_slope" sheetId="22" r:id="rId12"/>
    <sheet name="Tx_phase_change_slope" sheetId="23" r:id="rId13"/>
    <sheet name="Tx_PMS_ALSFRS" sheetId="25" r:id="rId14"/>
    <sheet name="Tx_PMS_ALSFRS_table" sheetId="24" r:id="rId15"/>
    <sheet name="Tx_PMS_cytokine_full" sheetId="26" r:id="rId16"/>
    <sheet name="Tx_PMS_cytokine_full (2)" sheetId="28" r:id="rId17"/>
  </sheets>
  <definedNames>
    <definedName name="_xlnm._FilterDatabase" localSheetId="0" hidden="1">Group_subset!$A$1:$G$17</definedName>
    <definedName name="_xlnm._FilterDatabase" localSheetId="1" hidden="1">Main!$A$1:$EF$98</definedName>
    <definedName name="_xlnm._FilterDatabase" localSheetId="8" hidden="1">Tx_ALSFRSR_imputed!$A$1:$M$16</definedName>
    <definedName name="_xlnm._FilterDatabase" localSheetId="11" hidden="1">Tx_change_slope!$A$1:$Y$24</definedName>
    <definedName name="_xlnm._FilterDatabase" localSheetId="10" hidden="1">Tx_covariates!$A$1:$B$16</definedName>
    <definedName name="_xlnm._FilterDatabase" localSheetId="6" hidden="1">TX_cytokine_date_table!$A$1:$I$17</definedName>
    <definedName name="_xlnm._FilterDatabase" localSheetId="9" hidden="1">Tx_cytokine_model!$A$1:$S$25</definedName>
    <definedName name="_xlnm._FilterDatabase" localSheetId="12" hidden="1">Tx_phase_change_slope!$A$1:$E$27</definedName>
    <definedName name="_xlnm._FilterDatabase" localSheetId="13" hidden="1">Tx_PMS_ALSFRS!$A$1:$U$83</definedName>
    <definedName name="_xlnm._FilterDatabase" localSheetId="16" hidden="1">'Tx_PMS_cytokine_full (2)'!$A$1:$AT$83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26" l="1"/>
  <c r="BS4" i="26"/>
  <c r="BS5" i="26"/>
  <c r="BS6" i="26"/>
  <c r="BS7" i="26"/>
  <c r="BS8" i="26"/>
  <c r="BS9" i="26"/>
  <c r="BS10" i="26"/>
  <c r="BS11" i="26"/>
  <c r="BS12" i="26"/>
  <c r="BS13" i="26"/>
  <c r="BS14" i="26"/>
  <c r="BS15" i="26"/>
  <c r="BS16" i="26"/>
  <c r="BS17" i="26"/>
  <c r="BS18" i="26"/>
  <c r="BS19" i="26"/>
  <c r="BS20" i="26"/>
  <c r="BS21" i="26"/>
  <c r="BS22" i="26"/>
  <c r="BS23" i="26"/>
  <c r="BS24" i="26"/>
  <c r="BS25" i="26"/>
  <c r="BS26" i="26"/>
  <c r="BS27" i="26"/>
  <c r="BS28" i="26"/>
  <c r="BS29" i="26"/>
  <c r="BS30" i="26"/>
  <c r="BS31" i="26"/>
  <c r="BS32" i="26"/>
  <c r="BS33" i="26"/>
  <c r="BS34" i="26"/>
  <c r="BS35" i="26"/>
  <c r="BS36" i="26"/>
  <c r="BS37" i="26"/>
  <c r="BS38" i="26"/>
  <c r="BS39" i="26"/>
  <c r="BS40" i="26"/>
  <c r="BS41" i="26"/>
  <c r="BS42" i="26"/>
  <c r="BS43" i="26"/>
  <c r="BS44" i="26"/>
  <c r="BS45" i="26"/>
  <c r="BS46" i="26"/>
  <c r="BS47" i="26"/>
  <c r="BS48" i="26"/>
  <c r="BS49" i="26"/>
  <c r="BS50" i="26"/>
  <c r="BS51" i="26"/>
  <c r="BS52" i="26"/>
  <c r="BS53" i="26"/>
  <c r="BS54" i="26"/>
  <c r="BS55" i="26"/>
  <c r="BS56" i="26"/>
  <c r="BS57" i="26"/>
  <c r="BS58" i="26"/>
  <c r="BS59" i="26"/>
  <c r="BS60" i="26"/>
  <c r="BS61" i="26"/>
  <c r="BS62" i="26"/>
  <c r="BS63" i="26"/>
  <c r="BS64" i="26"/>
  <c r="BS65" i="26"/>
  <c r="BS66" i="26"/>
  <c r="BS67" i="26"/>
  <c r="BS68" i="26"/>
  <c r="BS69" i="26"/>
  <c r="BS70" i="26"/>
  <c r="BS71" i="26"/>
  <c r="BS72" i="26"/>
  <c r="BS73" i="26"/>
  <c r="BS74" i="26"/>
  <c r="BS75" i="26"/>
  <c r="BS76" i="26"/>
  <c r="BS77" i="26"/>
  <c r="BS78" i="26"/>
  <c r="BS79" i="26"/>
  <c r="BS80" i="26"/>
  <c r="BS81" i="26"/>
  <c r="BS82" i="26"/>
  <c r="BS83" i="26"/>
  <c r="BR3" i="26"/>
  <c r="BR4" i="26"/>
  <c r="BR5" i="26"/>
  <c r="BR6" i="26"/>
  <c r="BR7" i="26"/>
  <c r="BR8" i="26"/>
  <c r="BR9" i="26"/>
  <c r="BR10" i="26"/>
  <c r="BR11" i="26"/>
  <c r="BR12" i="26"/>
  <c r="BR13" i="26"/>
  <c r="BR14" i="26"/>
  <c r="BR15" i="26"/>
  <c r="BR16" i="26"/>
  <c r="BR17" i="26"/>
  <c r="BR18" i="26"/>
  <c r="BR19" i="26"/>
  <c r="BR20" i="26"/>
  <c r="BR21" i="26"/>
  <c r="BR22" i="26"/>
  <c r="BR23" i="26"/>
  <c r="BR24" i="26"/>
  <c r="BR25" i="26"/>
  <c r="BR26" i="26"/>
  <c r="BR27" i="26"/>
  <c r="BR28" i="26"/>
  <c r="BR29" i="26"/>
  <c r="BR30" i="26"/>
  <c r="BR31" i="26"/>
  <c r="BR32" i="26"/>
  <c r="BR33" i="26"/>
  <c r="BR34" i="26"/>
  <c r="BR35" i="26"/>
  <c r="BR36" i="26"/>
  <c r="BR37" i="26"/>
  <c r="BR38" i="26"/>
  <c r="BR39" i="26"/>
  <c r="BR40" i="26"/>
  <c r="BR41" i="26"/>
  <c r="BR42" i="26"/>
  <c r="BR43" i="26"/>
  <c r="BR44" i="26"/>
  <c r="BR45" i="26"/>
  <c r="BR46" i="26"/>
  <c r="BR47" i="26"/>
  <c r="BR48" i="26"/>
  <c r="BR49" i="26"/>
  <c r="BR50" i="26"/>
  <c r="BR51" i="26"/>
  <c r="BR52" i="26"/>
  <c r="BR53" i="26"/>
  <c r="BR54" i="26"/>
  <c r="BR55" i="26"/>
  <c r="BR56" i="26"/>
  <c r="BR57" i="26"/>
  <c r="BR58" i="26"/>
  <c r="BR59" i="26"/>
  <c r="BR60" i="26"/>
  <c r="BR61" i="26"/>
  <c r="BR62" i="26"/>
  <c r="BR63" i="26"/>
  <c r="BR64" i="26"/>
  <c r="BR65" i="26"/>
  <c r="BR66" i="26"/>
  <c r="BR67" i="26"/>
  <c r="BR68" i="26"/>
  <c r="BR69" i="26"/>
  <c r="BR70" i="26"/>
  <c r="BR71" i="26"/>
  <c r="BR72" i="26"/>
  <c r="BR73" i="26"/>
  <c r="BR74" i="26"/>
  <c r="BR75" i="26"/>
  <c r="BR76" i="26"/>
  <c r="BR77" i="26"/>
  <c r="BR78" i="26"/>
  <c r="BR79" i="26"/>
  <c r="BR80" i="26"/>
  <c r="BR81" i="26"/>
  <c r="BR82" i="26"/>
  <c r="BR83" i="26"/>
  <c r="BS2" i="26"/>
  <c r="BR2" i="26"/>
  <c r="AB83" i="28"/>
  <c r="AB82" i="28"/>
  <c r="P82" i="28"/>
  <c r="AB81" i="28"/>
  <c r="AB80" i="28"/>
  <c r="AB79" i="28"/>
  <c r="AB78" i="28"/>
  <c r="P78" i="28"/>
  <c r="AB77" i="28"/>
  <c r="AB76" i="28"/>
  <c r="P76" i="28"/>
  <c r="AB75" i="28"/>
  <c r="P75" i="28"/>
  <c r="AB74" i="28"/>
  <c r="AB73" i="28"/>
  <c r="AB72" i="28"/>
  <c r="AB71" i="28"/>
  <c r="P71" i="28"/>
  <c r="AB70" i="28"/>
  <c r="P70" i="28"/>
  <c r="AB69" i="28"/>
  <c r="AB68" i="28"/>
  <c r="AB67" i="28"/>
  <c r="P67" i="28"/>
  <c r="AB66" i="28"/>
  <c r="AB65" i="28"/>
  <c r="AB64" i="28"/>
  <c r="P64" i="28"/>
  <c r="AB63" i="28"/>
  <c r="AB62" i="28"/>
  <c r="AB61" i="28"/>
  <c r="AB60" i="28"/>
  <c r="AB59" i="28"/>
  <c r="AB58" i="28"/>
  <c r="AB57" i="28"/>
  <c r="AB56" i="28"/>
  <c r="AB55" i="28"/>
  <c r="AB54" i="28"/>
  <c r="AB53" i="28"/>
  <c r="AB52" i="28"/>
  <c r="AB51" i="28"/>
  <c r="AB50" i="28"/>
  <c r="AB49" i="28"/>
  <c r="AB48" i="28"/>
  <c r="AB47" i="28"/>
  <c r="AT46" i="28"/>
  <c r="AN46" i="28"/>
  <c r="AK46" i="28"/>
  <c r="AB46" i="28"/>
  <c r="AB45" i="28"/>
  <c r="AB44" i="28"/>
  <c r="AB43" i="28"/>
  <c r="AB42" i="28"/>
  <c r="AB41" i="28"/>
  <c r="AB40" i="28"/>
  <c r="AB39" i="28"/>
  <c r="AB38" i="28"/>
  <c r="AB37" i="28"/>
  <c r="AB36" i="28"/>
  <c r="AB35" i="28"/>
  <c r="AB34" i="28"/>
  <c r="AT33" i="28"/>
  <c r="AQ33" i="28"/>
  <c r="AN33" i="28"/>
  <c r="AB33" i="28"/>
  <c r="AB32" i="28"/>
  <c r="AB31" i="28"/>
  <c r="AB30" i="28"/>
  <c r="AB29" i="28"/>
  <c r="AB28" i="28"/>
  <c r="AB27" i="28"/>
  <c r="AB26" i="28"/>
  <c r="AB25" i="28"/>
  <c r="AB24" i="28"/>
  <c r="AB23" i="28"/>
  <c r="AB22" i="28"/>
  <c r="AB21" i="28"/>
  <c r="AB20" i="28"/>
  <c r="AB19" i="28"/>
  <c r="AB18" i="28"/>
  <c r="AB17" i="28"/>
  <c r="AB16" i="28"/>
  <c r="AB15" i="28"/>
  <c r="AB14" i="28"/>
  <c r="AB13" i="28"/>
  <c r="AB12" i="28"/>
  <c r="AB11" i="28"/>
  <c r="AT10" i="28"/>
  <c r="AQ10" i="28"/>
  <c r="AN10" i="28"/>
  <c r="AK10" i="28"/>
  <c r="AB10" i="28"/>
  <c r="AB9" i="28"/>
  <c r="AT8" i="28"/>
  <c r="AQ8" i="28"/>
  <c r="AN8" i="28"/>
  <c r="AK8" i="28"/>
  <c r="AB8" i="28"/>
  <c r="AB7" i="28"/>
  <c r="AB6" i="28"/>
  <c r="AB5" i="28"/>
  <c r="AB4" i="28"/>
  <c r="AB3" i="28"/>
  <c r="AB2" i="28"/>
  <c r="AY83" i="26"/>
  <c r="AY82" i="26"/>
  <c r="AM82" i="26"/>
  <c r="AD82" i="26"/>
  <c r="U82" i="26"/>
  <c r="AY81" i="26"/>
  <c r="AY80" i="26"/>
  <c r="AY79" i="26"/>
  <c r="AY78" i="26"/>
  <c r="AM78" i="26"/>
  <c r="AD78" i="26"/>
  <c r="U78" i="26"/>
  <c r="AY77" i="26"/>
  <c r="AY76" i="26"/>
  <c r="AM76" i="26"/>
  <c r="AD76" i="26"/>
  <c r="U76" i="26"/>
  <c r="AY75" i="26"/>
  <c r="AM75" i="26"/>
  <c r="AD75" i="26"/>
  <c r="U75" i="26"/>
  <c r="AY74" i="26"/>
  <c r="AY73" i="26"/>
  <c r="AY72" i="26"/>
  <c r="AY71" i="26"/>
  <c r="AM71" i="26"/>
  <c r="AD71" i="26"/>
  <c r="U71" i="26"/>
  <c r="AY70" i="26"/>
  <c r="AM70" i="26"/>
  <c r="AD70" i="26"/>
  <c r="U70" i="26"/>
  <c r="AY69" i="26"/>
  <c r="AY68" i="26"/>
  <c r="AY67" i="26"/>
  <c r="AM67" i="26"/>
  <c r="AD67" i="26"/>
  <c r="U67" i="26"/>
  <c r="AY66" i="26"/>
  <c r="AY65" i="26"/>
  <c r="AY64" i="26"/>
  <c r="AM64" i="26"/>
  <c r="AD64" i="26"/>
  <c r="U64" i="26"/>
  <c r="AY63" i="26"/>
  <c r="AY62" i="26"/>
  <c r="AY61" i="26"/>
  <c r="AY60" i="26"/>
  <c r="AY59" i="26"/>
  <c r="AY58" i="26"/>
  <c r="AY57" i="26"/>
  <c r="AY56" i="26"/>
  <c r="AY55" i="26"/>
  <c r="AY54" i="26"/>
  <c r="AY53" i="26"/>
  <c r="AY52" i="26"/>
  <c r="AY51" i="26"/>
  <c r="AY50" i="26"/>
  <c r="AY49" i="26"/>
  <c r="AY48" i="26"/>
  <c r="AY47" i="26"/>
  <c r="BQ46" i="26"/>
  <c r="BK46" i="26"/>
  <c r="BH46" i="26"/>
  <c r="AY46" i="26"/>
  <c r="AY45" i="26"/>
  <c r="AY44" i="26"/>
  <c r="AY43" i="26"/>
  <c r="AY42" i="26"/>
  <c r="AY41" i="26"/>
  <c r="AY40" i="26"/>
  <c r="AY39" i="26"/>
  <c r="AY38" i="26"/>
  <c r="AY37" i="26"/>
  <c r="AY36" i="26"/>
  <c r="AY35" i="26"/>
  <c r="AY34" i="26"/>
  <c r="BQ33" i="26"/>
  <c r="BN33" i="26"/>
  <c r="BK33" i="26"/>
  <c r="AY33" i="26"/>
  <c r="AY32" i="26"/>
  <c r="AY31" i="26"/>
  <c r="AY30" i="26"/>
  <c r="AY29" i="26"/>
  <c r="AY28" i="26"/>
  <c r="AY27" i="26"/>
  <c r="AY26" i="26"/>
  <c r="AY25" i="26"/>
  <c r="AY24" i="26"/>
  <c r="AY23" i="26"/>
  <c r="AY22" i="26"/>
  <c r="AY21" i="26"/>
  <c r="AY20" i="26"/>
  <c r="AY19" i="26"/>
  <c r="AY18" i="26"/>
  <c r="AY17" i="26"/>
  <c r="AY16" i="26"/>
  <c r="AY15" i="26"/>
  <c r="AY14" i="26"/>
  <c r="AY13" i="26"/>
  <c r="AY12" i="26"/>
  <c r="AY11" i="26"/>
  <c r="BQ10" i="26"/>
  <c r="BN10" i="26"/>
  <c r="BK10" i="26"/>
  <c r="BH10" i="26"/>
  <c r="AY10" i="26"/>
  <c r="AY9" i="26"/>
  <c r="BQ8" i="26"/>
  <c r="BN8" i="26"/>
  <c r="BK8" i="26"/>
  <c r="BH8" i="26"/>
  <c r="AY8" i="26"/>
  <c r="AY7" i="26"/>
  <c r="AY6" i="26"/>
  <c r="AY5" i="26"/>
  <c r="AY4" i="26"/>
  <c r="AY3" i="26"/>
  <c r="AY2" i="26"/>
  <c r="H3" i="23" l="1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" i="23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F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G2" i="23"/>
  <c r="F2" i="23"/>
  <c r="R9" i="22" l="1"/>
  <c r="R10" i="22"/>
  <c r="R6" i="22"/>
  <c r="R12" i="22"/>
  <c r="R13" i="22"/>
  <c r="R2" i="22"/>
  <c r="R7" i="22"/>
  <c r="R3" i="22"/>
  <c r="R8" i="22"/>
  <c r="S7" i="22" l="1"/>
  <c r="T7" i="22" s="1"/>
  <c r="Z7" i="22" s="1"/>
  <c r="R4" i="22"/>
  <c r="R5" i="22"/>
  <c r="Z5" i="22" s="1"/>
  <c r="Y10" i="22"/>
  <c r="Y9" i="22"/>
  <c r="Y6" i="22"/>
  <c r="Y12" i="22"/>
  <c r="Y2" i="22"/>
  <c r="Y14" i="22"/>
  <c r="Y8" i="22"/>
  <c r="Y5" i="22"/>
  <c r="X10" i="22"/>
  <c r="X9" i="22"/>
  <c r="X6" i="22"/>
  <c r="X12" i="22"/>
  <c r="X2" i="22"/>
  <c r="X13" i="22"/>
  <c r="X14" i="22"/>
  <c r="X8" i="22"/>
  <c r="X16" i="22"/>
  <c r="X4" i="22"/>
  <c r="X5" i="22"/>
  <c r="W10" i="22"/>
  <c r="W9" i="22"/>
  <c r="W6" i="22"/>
  <c r="W12" i="22"/>
  <c r="W2" i="22"/>
  <c r="W13" i="22"/>
  <c r="W14" i="22"/>
  <c r="W7" i="22"/>
  <c r="W8" i="22"/>
  <c r="W3" i="22"/>
  <c r="W15" i="22"/>
  <c r="W16" i="22"/>
  <c r="W17" i="22"/>
  <c r="W4" i="22"/>
  <c r="W5" i="22"/>
  <c r="V10" i="22"/>
  <c r="V9" i="22"/>
  <c r="V6" i="22"/>
  <c r="V12" i="22"/>
  <c r="V11" i="22"/>
  <c r="V2" i="22"/>
  <c r="V13" i="22"/>
  <c r="V14" i="22"/>
  <c r="V7" i="22"/>
  <c r="V8" i="22"/>
  <c r="V3" i="22"/>
  <c r="V15" i="22"/>
  <c r="V16" i="22"/>
  <c r="V17" i="22"/>
  <c r="V4" i="22"/>
  <c r="V18" i="22"/>
  <c r="V19" i="22"/>
  <c r="V20" i="22"/>
  <c r="V21" i="22"/>
  <c r="V22" i="22"/>
  <c r="V23" i="22"/>
  <c r="V24" i="22"/>
  <c r="V5" i="22"/>
  <c r="U10" i="22"/>
  <c r="U9" i="22"/>
  <c r="U6" i="22"/>
  <c r="U12" i="22"/>
  <c r="U11" i="22"/>
  <c r="U2" i="22"/>
  <c r="U13" i="22"/>
  <c r="U14" i="22"/>
  <c r="U7" i="22"/>
  <c r="U8" i="22"/>
  <c r="U3" i="22"/>
  <c r="U15" i="22"/>
  <c r="U16" i="22"/>
  <c r="U17" i="22"/>
  <c r="U4" i="22"/>
  <c r="U18" i="22"/>
  <c r="U19" i="22"/>
  <c r="U20" i="22"/>
  <c r="U21" i="22"/>
  <c r="U22" i="22"/>
  <c r="U23" i="22"/>
  <c r="U24" i="22"/>
  <c r="U5" i="22"/>
  <c r="S10" i="22"/>
  <c r="T10" i="22" s="1"/>
  <c r="Z10" i="22" s="1"/>
  <c r="S9" i="22"/>
  <c r="T9" i="22" s="1"/>
  <c r="Z9" i="22" s="1"/>
  <c r="S6" i="22"/>
  <c r="T6" i="22" s="1"/>
  <c r="Z6" i="22" s="1"/>
  <c r="S12" i="22"/>
  <c r="T12" i="22" s="1"/>
  <c r="Z12" i="22" s="1"/>
  <c r="S11" i="22"/>
  <c r="T11" i="22" s="1"/>
  <c r="S2" i="22"/>
  <c r="T2" i="22" s="1"/>
  <c r="Z2" i="22" s="1"/>
  <c r="S13" i="22"/>
  <c r="T13" i="22" s="1"/>
  <c r="Z13" i="22" s="1"/>
  <c r="S14" i="22"/>
  <c r="T14" i="22" s="1"/>
  <c r="S8" i="22"/>
  <c r="T8" i="22" s="1"/>
  <c r="Z8" i="22" s="1"/>
  <c r="S3" i="22"/>
  <c r="T3" i="22" s="1"/>
  <c r="Z3" i="22" s="1"/>
  <c r="S15" i="22"/>
  <c r="T15" i="22" s="1"/>
  <c r="S16" i="22"/>
  <c r="T16" i="22" s="1"/>
  <c r="S17" i="22"/>
  <c r="T17" i="22" s="1"/>
  <c r="S4" i="22"/>
  <c r="T4" i="22" s="1"/>
  <c r="S18" i="22"/>
  <c r="T18" i="22" s="1"/>
  <c r="S19" i="22"/>
  <c r="T19" i="22" s="1"/>
  <c r="S20" i="22"/>
  <c r="T20" i="22" s="1"/>
  <c r="S21" i="22"/>
  <c r="T21" i="22" s="1"/>
  <c r="S22" i="22"/>
  <c r="T22" i="22" s="1"/>
  <c r="S23" i="22"/>
  <c r="T23" i="22" s="1"/>
  <c r="S24" i="22"/>
  <c r="T24" i="22" s="1"/>
  <c r="S5" i="22"/>
  <c r="T5" i="22" s="1"/>
  <c r="Z4" i="22" l="1"/>
  <c r="H3" i="8" l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H2" i="8"/>
  <c r="G2" i="8"/>
  <c r="BJ17" i="5"/>
  <c r="BK16" i="5"/>
  <c r="BJ16" i="5"/>
  <c r="BJ15" i="5"/>
  <c r="BK14" i="5"/>
  <c r="BJ14" i="5"/>
  <c r="BK13" i="5"/>
  <c r="BJ13" i="5"/>
  <c r="BK12" i="5"/>
  <c r="BJ12" i="5"/>
  <c r="BJ11" i="5"/>
  <c r="BK10" i="5"/>
  <c r="BJ10" i="5"/>
  <c r="BK9" i="5"/>
  <c r="BJ9" i="5"/>
  <c r="BJ8" i="5"/>
  <c r="BK7" i="5"/>
  <c r="BJ7" i="5"/>
  <c r="BK6" i="5"/>
  <c r="BJ6" i="5"/>
  <c r="BK5" i="5"/>
  <c r="BJ5" i="5"/>
  <c r="BK4" i="5"/>
  <c r="BJ4" i="5"/>
  <c r="BK3" i="5"/>
  <c r="BJ3" i="5"/>
  <c r="BK2" i="5"/>
  <c r="BJ2" i="5"/>
  <c r="DQ2" i="4"/>
  <c r="DB2" i="4" s="1"/>
  <c r="DP2" i="4"/>
  <c r="DA2" i="4" s="1"/>
  <c r="DO2" i="4"/>
  <c r="DG2" i="4"/>
  <c r="DF2" i="4" s="1"/>
  <c r="DE2" i="4"/>
  <c r="DD2" i="4" s="1"/>
  <c r="CG2" i="4"/>
  <c r="CF2" i="4"/>
  <c r="CC2" i="4"/>
  <c r="DQ98" i="4"/>
  <c r="DB98" i="4" s="1"/>
  <c r="DP98" i="4"/>
  <c r="DA98" i="4" s="1"/>
  <c r="DO98" i="4"/>
  <c r="DG98" i="4"/>
  <c r="DF98" i="4" s="1"/>
  <c r="DE98" i="4"/>
  <c r="DD98" i="4" s="1"/>
  <c r="CF98" i="4"/>
  <c r="CC98" i="4"/>
  <c r="DQ28" i="4"/>
  <c r="DB28" i="4" s="1"/>
  <c r="DP28" i="4"/>
  <c r="DA28" i="4" s="1"/>
  <c r="DO28" i="4"/>
  <c r="DG28" i="4"/>
  <c r="DF28" i="4" s="1"/>
  <c r="DE28" i="4"/>
  <c r="DD28" i="4" s="1"/>
  <c r="CG28" i="4"/>
  <c r="CF28" i="4"/>
  <c r="CC28" i="4"/>
  <c r="DQ97" i="4"/>
  <c r="DB97" i="4" s="1"/>
  <c r="DP97" i="4"/>
  <c r="DA97" i="4" s="1"/>
  <c r="DO97" i="4"/>
  <c r="DG97" i="4"/>
  <c r="DF97" i="4" s="1"/>
  <c r="DE97" i="4"/>
  <c r="DD97" i="4" s="1"/>
  <c r="CF97" i="4"/>
  <c r="CC97" i="4"/>
  <c r="DQ96" i="4"/>
  <c r="DB96" i="4" s="1"/>
  <c r="DP96" i="4"/>
  <c r="DA96" i="4" s="1"/>
  <c r="DO96" i="4"/>
  <c r="DG96" i="4"/>
  <c r="DF96" i="4" s="1"/>
  <c r="DE96" i="4"/>
  <c r="DD96" i="4" s="1"/>
  <c r="CF96" i="4"/>
  <c r="CC96" i="4"/>
  <c r="DQ95" i="4"/>
  <c r="DB95" i="4" s="1"/>
  <c r="DP95" i="4"/>
  <c r="DA95" i="4" s="1"/>
  <c r="DO95" i="4"/>
  <c r="DG95" i="4"/>
  <c r="DF95" i="4" s="1"/>
  <c r="DE95" i="4"/>
  <c r="DD95" i="4" s="1"/>
  <c r="CG95" i="4"/>
  <c r="CF95" i="4"/>
  <c r="CC95" i="4"/>
  <c r="DQ22" i="4"/>
  <c r="DB22" i="4" s="1"/>
  <c r="DP22" i="4"/>
  <c r="DA22" i="4" s="1"/>
  <c r="DO22" i="4"/>
  <c r="DG22" i="4"/>
  <c r="DF22" i="4" s="1"/>
  <c r="DE22" i="4"/>
  <c r="DD22" i="4" s="1"/>
  <c r="CG22" i="4"/>
  <c r="CF22" i="4"/>
  <c r="CC22" i="4"/>
  <c r="DQ20" i="4"/>
  <c r="DB20" i="4" s="1"/>
  <c r="DP20" i="4"/>
  <c r="CZ20" i="4" s="1"/>
  <c r="DO20" i="4"/>
  <c r="DG20" i="4"/>
  <c r="DF20" i="4" s="1"/>
  <c r="DE20" i="4"/>
  <c r="DD20" i="4" s="1"/>
  <c r="CG20" i="4"/>
  <c r="CF20" i="4"/>
  <c r="CC20" i="4"/>
  <c r="DQ21" i="4"/>
  <c r="DB21" i="4" s="1"/>
  <c r="DP21" i="4"/>
  <c r="DA21" i="4" s="1"/>
  <c r="DO21" i="4"/>
  <c r="DG21" i="4"/>
  <c r="DF21" i="4" s="1"/>
  <c r="DE21" i="4"/>
  <c r="DD21" i="4" s="1"/>
  <c r="CG21" i="4"/>
  <c r="CF21" i="4"/>
  <c r="CC21" i="4"/>
  <c r="DQ93" i="4"/>
  <c r="DB93" i="4" s="1"/>
  <c r="DP93" i="4"/>
  <c r="DA93" i="4" s="1"/>
  <c r="DO93" i="4"/>
  <c r="DG93" i="4"/>
  <c r="DF93" i="4" s="1"/>
  <c r="DE93" i="4"/>
  <c r="DD93" i="4" s="1"/>
  <c r="CC93" i="4"/>
  <c r="DQ92" i="4"/>
  <c r="DB92" i="4" s="1"/>
  <c r="DP92" i="4"/>
  <c r="DA92" i="4" s="1"/>
  <c r="DO92" i="4"/>
  <c r="DG92" i="4"/>
  <c r="DF92" i="4" s="1"/>
  <c r="DE92" i="4"/>
  <c r="DD92" i="4" s="1"/>
  <c r="CC92" i="4"/>
  <c r="DQ91" i="4"/>
  <c r="DB91" i="4" s="1"/>
  <c r="DP91" i="4"/>
  <c r="DA91" i="4" s="1"/>
  <c r="DO91" i="4"/>
  <c r="DG91" i="4"/>
  <c r="DF91" i="4" s="1"/>
  <c r="DE91" i="4"/>
  <c r="DD91" i="4" s="1"/>
  <c r="CC91" i="4"/>
  <c r="DQ90" i="4"/>
  <c r="DB90" i="4" s="1"/>
  <c r="DP90" i="4"/>
  <c r="DA90" i="4" s="1"/>
  <c r="DO90" i="4"/>
  <c r="DG90" i="4"/>
  <c r="DF90" i="4" s="1"/>
  <c r="DE90" i="4"/>
  <c r="DD90" i="4" s="1"/>
  <c r="DH90" i="4" s="1"/>
  <c r="CC90" i="4"/>
  <c r="DQ89" i="4"/>
  <c r="DB89" i="4" s="1"/>
  <c r="DP89" i="4"/>
  <c r="DA89" i="4" s="1"/>
  <c r="DO89" i="4"/>
  <c r="DG89" i="4"/>
  <c r="DF89" i="4" s="1"/>
  <c r="DE89" i="4"/>
  <c r="DD89" i="4" s="1"/>
  <c r="CC89" i="4"/>
  <c r="DQ88" i="4"/>
  <c r="DB88" i="4" s="1"/>
  <c r="DP88" i="4"/>
  <c r="CZ88" i="4" s="1"/>
  <c r="DO88" i="4"/>
  <c r="DG88" i="4"/>
  <c r="DF88" i="4" s="1"/>
  <c r="DE88" i="4"/>
  <c r="DD88" i="4" s="1"/>
  <c r="CC88" i="4"/>
  <c r="DQ87" i="4"/>
  <c r="DB87" i="4" s="1"/>
  <c r="DP87" i="4"/>
  <c r="DA87" i="4" s="1"/>
  <c r="DO87" i="4"/>
  <c r="DG87" i="4"/>
  <c r="DF87" i="4" s="1"/>
  <c r="DE87" i="4"/>
  <c r="DD87" i="4" s="1"/>
  <c r="CC87" i="4"/>
  <c r="DQ86" i="4"/>
  <c r="DB86" i="4" s="1"/>
  <c r="DP86" i="4"/>
  <c r="DA86" i="4" s="1"/>
  <c r="DO86" i="4"/>
  <c r="DG86" i="4"/>
  <c r="DF86" i="4" s="1"/>
  <c r="DE86" i="4"/>
  <c r="DD86" i="4" s="1"/>
  <c r="DH86" i="4" s="1"/>
  <c r="CC86" i="4"/>
  <c r="DQ85" i="4"/>
  <c r="DB85" i="4" s="1"/>
  <c r="DP85" i="4"/>
  <c r="DA85" i="4" s="1"/>
  <c r="DO85" i="4"/>
  <c r="DG85" i="4"/>
  <c r="DF85" i="4" s="1"/>
  <c r="DE85" i="4"/>
  <c r="DD85" i="4" s="1"/>
  <c r="CC85" i="4"/>
  <c r="DQ84" i="4"/>
  <c r="DP84" i="4"/>
  <c r="DA84" i="4" s="1"/>
  <c r="DO84" i="4"/>
  <c r="DG84" i="4"/>
  <c r="DF84" i="4" s="1"/>
  <c r="DE84" i="4"/>
  <c r="DD84" i="4" s="1"/>
  <c r="DB84" i="4"/>
  <c r="CC84" i="4"/>
  <c r="DQ83" i="4"/>
  <c r="DB83" i="4" s="1"/>
  <c r="DP83" i="4"/>
  <c r="DA83" i="4" s="1"/>
  <c r="DO83" i="4"/>
  <c r="DG83" i="4"/>
  <c r="DF83" i="4" s="1"/>
  <c r="DE83" i="4"/>
  <c r="DD83" i="4" s="1"/>
  <c r="CC83" i="4"/>
  <c r="DQ82" i="4"/>
  <c r="DB82" i="4" s="1"/>
  <c r="DP82" i="4"/>
  <c r="DA82" i="4" s="1"/>
  <c r="DO82" i="4"/>
  <c r="DG82" i="4"/>
  <c r="DF82" i="4" s="1"/>
  <c r="DE82" i="4"/>
  <c r="DD82" i="4" s="1"/>
  <c r="CC82" i="4"/>
  <c r="DQ81" i="4"/>
  <c r="DB81" i="4" s="1"/>
  <c r="DP81" i="4"/>
  <c r="CZ81" i="4" s="1"/>
  <c r="DO81" i="4"/>
  <c r="DG81" i="4"/>
  <c r="DF81" i="4" s="1"/>
  <c r="DE81" i="4"/>
  <c r="DD81" i="4" s="1"/>
  <c r="CC81" i="4"/>
  <c r="DQ80" i="4"/>
  <c r="DB80" i="4" s="1"/>
  <c r="DP80" i="4"/>
  <c r="DA80" i="4" s="1"/>
  <c r="DO80" i="4"/>
  <c r="DG80" i="4"/>
  <c r="DF80" i="4" s="1"/>
  <c r="DE80" i="4"/>
  <c r="DD80" i="4" s="1"/>
  <c r="DH80" i="4" s="1"/>
  <c r="CC80" i="4"/>
  <c r="DQ79" i="4"/>
  <c r="DB79" i="4" s="1"/>
  <c r="DP79" i="4"/>
  <c r="DA79" i="4" s="1"/>
  <c r="DO79" i="4"/>
  <c r="DG79" i="4"/>
  <c r="DF79" i="4" s="1"/>
  <c r="DE79" i="4"/>
  <c r="DD79" i="4" s="1"/>
  <c r="CC79" i="4"/>
  <c r="DQ78" i="4"/>
  <c r="DB78" i="4" s="1"/>
  <c r="DP78" i="4"/>
  <c r="DA78" i="4" s="1"/>
  <c r="DO78" i="4"/>
  <c r="DG78" i="4"/>
  <c r="DF78" i="4" s="1"/>
  <c r="DE78" i="4"/>
  <c r="DD78" i="4" s="1"/>
  <c r="DH78" i="4" s="1"/>
  <c r="CC78" i="4"/>
  <c r="DQ77" i="4"/>
  <c r="DB77" i="4" s="1"/>
  <c r="DP77" i="4"/>
  <c r="DA77" i="4" s="1"/>
  <c r="DO77" i="4"/>
  <c r="DG77" i="4"/>
  <c r="DF77" i="4" s="1"/>
  <c r="DE77" i="4"/>
  <c r="DD77" i="4" s="1"/>
  <c r="CC77" i="4"/>
  <c r="DQ76" i="4"/>
  <c r="DB76" i="4" s="1"/>
  <c r="DP76" i="4"/>
  <c r="DA76" i="4" s="1"/>
  <c r="DO76" i="4"/>
  <c r="DG76" i="4"/>
  <c r="DF76" i="4" s="1"/>
  <c r="DE76" i="4"/>
  <c r="DD76" i="4" s="1"/>
  <c r="CC76" i="4"/>
  <c r="DQ75" i="4"/>
  <c r="DB75" i="4" s="1"/>
  <c r="DP75" i="4"/>
  <c r="CZ75" i="4" s="1"/>
  <c r="DO75" i="4"/>
  <c r="DG75" i="4"/>
  <c r="DF75" i="4" s="1"/>
  <c r="DE75" i="4"/>
  <c r="DD75" i="4" s="1"/>
  <c r="DA75" i="4"/>
  <c r="CC75" i="4"/>
  <c r="DQ74" i="4"/>
  <c r="DB74" i="4" s="1"/>
  <c r="DP74" i="4"/>
  <c r="DA74" i="4" s="1"/>
  <c r="DO74" i="4"/>
  <c r="DG74" i="4"/>
  <c r="DF74" i="4" s="1"/>
  <c r="DE74" i="4"/>
  <c r="DD74" i="4" s="1"/>
  <c r="CF74" i="4"/>
  <c r="CC74" i="4"/>
  <c r="DQ73" i="4"/>
  <c r="DB73" i="4" s="1"/>
  <c r="DP73" i="4"/>
  <c r="CZ73" i="4" s="1"/>
  <c r="DO73" i="4"/>
  <c r="DG73" i="4"/>
  <c r="DF73" i="4" s="1"/>
  <c r="DJ73" i="4" s="1"/>
  <c r="DE73" i="4"/>
  <c r="DD73" i="4" s="1"/>
  <c r="CF73" i="4"/>
  <c r="CC73" i="4"/>
  <c r="DQ72" i="4"/>
  <c r="DB72" i="4" s="1"/>
  <c r="DP72" i="4"/>
  <c r="DA72" i="4" s="1"/>
  <c r="DO72" i="4"/>
  <c r="DG72" i="4"/>
  <c r="DF72" i="4" s="1"/>
  <c r="DE72" i="4"/>
  <c r="DD72" i="4" s="1"/>
  <c r="CF72" i="4"/>
  <c r="CC72" i="4"/>
  <c r="DQ71" i="4"/>
  <c r="DB71" i="4" s="1"/>
  <c r="DP71" i="4"/>
  <c r="DA71" i="4" s="1"/>
  <c r="DO71" i="4"/>
  <c r="DG71" i="4"/>
  <c r="DF71" i="4" s="1"/>
  <c r="DE71" i="4"/>
  <c r="DD71" i="4" s="1"/>
  <c r="CF71" i="4"/>
  <c r="CC71" i="4"/>
  <c r="DQ70" i="4"/>
  <c r="DB70" i="4" s="1"/>
  <c r="DP70" i="4"/>
  <c r="DA70" i="4" s="1"/>
  <c r="DO70" i="4"/>
  <c r="DG70" i="4"/>
  <c r="DF70" i="4" s="1"/>
  <c r="DE70" i="4"/>
  <c r="DD70" i="4" s="1"/>
  <c r="CF70" i="4"/>
  <c r="CC70" i="4"/>
  <c r="DQ69" i="4"/>
  <c r="DB69" i="4" s="1"/>
  <c r="DP69" i="4"/>
  <c r="DA69" i="4" s="1"/>
  <c r="DO69" i="4"/>
  <c r="DG69" i="4"/>
  <c r="DF69" i="4" s="1"/>
  <c r="DE69" i="4"/>
  <c r="DD69" i="4" s="1"/>
  <c r="CF69" i="4"/>
  <c r="CC69" i="4"/>
  <c r="DQ26" i="4"/>
  <c r="DB26" i="4" s="1"/>
  <c r="DP26" i="4"/>
  <c r="DA26" i="4" s="1"/>
  <c r="DO26" i="4"/>
  <c r="DG26" i="4"/>
  <c r="DF26" i="4" s="1"/>
  <c r="DE26" i="4"/>
  <c r="DD26" i="4" s="1"/>
  <c r="CF26" i="4"/>
  <c r="CC26" i="4"/>
  <c r="DQ68" i="4"/>
  <c r="DB68" i="4" s="1"/>
  <c r="DP68" i="4"/>
  <c r="DA68" i="4" s="1"/>
  <c r="DO68" i="4"/>
  <c r="DG68" i="4"/>
  <c r="DF68" i="4" s="1"/>
  <c r="DE68" i="4"/>
  <c r="DD68" i="4" s="1"/>
  <c r="CF68" i="4"/>
  <c r="CC68" i="4"/>
  <c r="DQ67" i="4"/>
  <c r="DB67" i="4" s="1"/>
  <c r="DP67" i="4"/>
  <c r="DA67" i="4" s="1"/>
  <c r="DO67" i="4"/>
  <c r="DG67" i="4"/>
  <c r="DF67" i="4" s="1"/>
  <c r="DE67" i="4"/>
  <c r="DD67" i="4" s="1"/>
  <c r="CF67" i="4"/>
  <c r="CC67" i="4"/>
  <c r="DQ66" i="4"/>
  <c r="DB66" i="4" s="1"/>
  <c r="DP66" i="4"/>
  <c r="DA66" i="4" s="1"/>
  <c r="DO66" i="4"/>
  <c r="DG66" i="4"/>
  <c r="DF66" i="4" s="1"/>
  <c r="DE66" i="4"/>
  <c r="DD66" i="4" s="1"/>
  <c r="CF66" i="4"/>
  <c r="CC66" i="4"/>
  <c r="DQ65" i="4"/>
  <c r="DB65" i="4" s="1"/>
  <c r="DP65" i="4"/>
  <c r="DA65" i="4" s="1"/>
  <c r="DO65" i="4"/>
  <c r="DG65" i="4"/>
  <c r="DF65" i="4" s="1"/>
  <c r="DE65" i="4"/>
  <c r="DD65" i="4" s="1"/>
  <c r="CF65" i="4"/>
  <c r="CC65" i="4"/>
  <c r="DQ64" i="4"/>
  <c r="DB64" i="4" s="1"/>
  <c r="DP64" i="4"/>
  <c r="DA64" i="4" s="1"/>
  <c r="DO64" i="4"/>
  <c r="DG64" i="4"/>
  <c r="DF64" i="4" s="1"/>
  <c r="DE64" i="4"/>
  <c r="DD64" i="4" s="1"/>
  <c r="CF64" i="4"/>
  <c r="CC64" i="4"/>
  <c r="DQ63" i="4"/>
  <c r="DB63" i="4" s="1"/>
  <c r="DP63" i="4"/>
  <c r="DA63" i="4" s="1"/>
  <c r="DO63" i="4"/>
  <c r="DG63" i="4"/>
  <c r="DF63" i="4" s="1"/>
  <c r="DE63" i="4"/>
  <c r="DD63" i="4" s="1"/>
  <c r="CF63" i="4"/>
  <c r="CC63" i="4"/>
  <c r="DQ62" i="4"/>
  <c r="DB62" i="4" s="1"/>
  <c r="DP62" i="4"/>
  <c r="DA62" i="4" s="1"/>
  <c r="DO62" i="4"/>
  <c r="DG62" i="4"/>
  <c r="DF62" i="4" s="1"/>
  <c r="DE62" i="4"/>
  <c r="DD62" i="4" s="1"/>
  <c r="CF62" i="4"/>
  <c r="CC62" i="4"/>
  <c r="DQ61" i="4"/>
  <c r="DB61" i="4" s="1"/>
  <c r="DP61" i="4"/>
  <c r="DA61" i="4" s="1"/>
  <c r="DO61" i="4"/>
  <c r="DG61" i="4"/>
  <c r="DF61" i="4" s="1"/>
  <c r="DE61" i="4"/>
  <c r="DD61" i="4" s="1"/>
  <c r="CF61" i="4"/>
  <c r="CC61" i="4"/>
  <c r="DQ60" i="4"/>
  <c r="DB60" i="4" s="1"/>
  <c r="DP60" i="4"/>
  <c r="DA60" i="4" s="1"/>
  <c r="DO60" i="4"/>
  <c r="DG60" i="4"/>
  <c r="DF60" i="4" s="1"/>
  <c r="DE60" i="4"/>
  <c r="DD60" i="4" s="1"/>
  <c r="CF60" i="4"/>
  <c r="CC60" i="4"/>
  <c r="DQ59" i="4"/>
  <c r="DB59" i="4" s="1"/>
  <c r="DP59" i="4"/>
  <c r="DA59" i="4" s="1"/>
  <c r="DO59" i="4"/>
  <c r="DG59" i="4"/>
  <c r="DF59" i="4" s="1"/>
  <c r="DE59" i="4"/>
  <c r="DD59" i="4" s="1"/>
  <c r="CF59" i="4"/>
  <c r="CC59" i="4"/>
  <c r="DQ58" i="4"/>
  <c r="DB58" i="4" s="1"/>
  <c r="DP58" i="4"/>
  <c r="CZ58" i="4" s="1"/>
  <c r="DO58" i="4"/>
  <c r="DG58" i="4"/>
  <c r="DF58" i="4" s="1"/>
  <c r="DE58" i="4"/>
  <c r="DD58" i="4" s="1"/>
  <c r="CF58" i="4"/>
  <c r="CC58" i="4"/>
  <c r="DQ57" i="4"/>
  <c r="DB57" i="4" s="1"/>
  <c r="DP57" i="4"/>
  <c r="DA57" i="4" s="1"/>
  <c r="DO57" i="4"/>
  <c r="DG57" i="4"/>
  <c r="DF57" i="4" s="1"/>
  <c r="DE57" i="4"/>
  <c r="DD57" i="4" s="1"/>
  <c r="DH57" i="4" s="1"/>
  <c r="CZ57" i="4"/>
  <c r="CG57" i="4"/>
  <c r="CF57" i="4"/>
  <c r="CC57" i="4"/>
  <c r="DQ56" i="4"/>
  <c r="DP56" i="4"/>
  <c r="DA56" i="4" s="1"/>
  <c r="DO56" i="4"/>
  <c r="DG56" i="4"/>
  <c r="DF56" i="4" s="1"/>
  <c r="DE56" i="4"/>
  <c r="DD56" i="4" s="1"/>
  <c r="DH56" i="4" s="1"/>
  <c r="DB56" i="4"/>
  <c r="CZ56" i="4"/>
  <c r="CG56" i="4"/>
  <c r="CF56" i="4"/>
  <c r="CC56" i="4"/>
  <c r="DQ55" i="4"/>
  <c r="DB55" i="4" s="1"/>
  <c r="DP55" i="4"/>
  <c r="CZ55" i="4" s="1"/>
  <c r="DO55" i="4"/>
  <c r="DG55" i="4"/>
  <c r="DF55" i="4" s="1"/>
  <c r="DE55" i="4"/>
  <c r="DD55" i="4" s="1"/>
  <c r="CG55" i="4"/>
  <c r="CF55" i="4"/>
  <c r="CC55" i="4"/>
  <c r="DQ54" i="4"/>
  <c r="DB54" i="4" s="1"/>
  <c r="DP54" i="4"/>
  <c r="DA54" i="4" s="1"/>
  <c r="DO54" i="4"/>
  <c r="DG54" i="4"/>
  <c r="DF54" i="4" s="1"/>
  <c r="DE54" i="4"/>
  <c r="DD54" i="4" s="1"/>
  <c r="CG54" i="4"/>
  <c r="CF54" i="4"/>
  <c r="CC54" i="4"/>
  <c r="DQ53" i="4"/>
  <c r="DB53" i="4" s="1"/>
  <c r="DP53" i="4"/>
  <c r="DA53" i="4" s="1"/>
  <c r="DO53" i="4"/>
  <c r="DG53" i="4"/>
  <c r="DF53" i="4" s="1"/>
  <c r="DE53" i="4"/>
  <c r="DD53" i="4" s="1"/>
  <c r="CG53" i="4"/>
  <c r="CF53" i="4"/>
  <c r="CC53" i="4"/>
  <c r="DQ52" i="4"/>
  <c r="DB52" i="4" s="1"/>
  <c r="DP52" i="4"/>
  <c r="DA52" i="4" s="1"/>
  <c r="DO52" i="4"/>
  <c r="DG52" i="4"/>
  <c r="DF52" i="4" s="1"/>
  <c r="DE52" i="4"/>
  <c r="DD52" i="4" s="1"/>
  <c r="CG52" i="4"/>
  <c r="CF52" i="4"/>
  <c r="DC52" i="4" s="1"/>
  <c r="CC52" i="4"/>
  <c r="DQ51" i="4"/>
  <c r="DB51" i="4" s="1"/>
  <c r="DP51" i="4"/>
  <c r="DA51" i="4" s="1"/>
  <c r="DO51" i="4"/>
  <c r="DG51" i="4"/>
  <c r="DF51" i="4" s="1"/>
  <c r="DE51" i="4"/>
  <c r="DD51" i="4" s="1"/>
  <c r="CG51" i="4"/>
  <c r="CF51" i="4"/>
  <c r="CC51" i="4"/>
  <c r="DQ50" i="4"/>
  <c r="DB50" i="4" s="1"/>
  <c r="DP50" i="4"/>
  <c r="DA50" i="4" s="1"/>
  <c r="DO50" i="4"/>
  <c r="DG50" i="4"/>
  <c r="DF50" i="4" s="1"/>
  <c r="DE50" i="4"/>
  <c r="DD50" i="4" s="1"/>
  <c r="CG50" i="4"/>
  <c r="CF50" i="4"/>
  <c r="CC50" i="4"/>
  <c r="DQ49" i="4"/>
  <c r="DB49" i="4" s="1"/>
  <c r="DP49" i="4"/>
  <c r="DA49" i="4" s="1"/>
  <c r="DO49" i="4"/>
  <c r="DG49" i="4"/>
  <c r="DF49" i="4" s="1"/>
  <c r="DE49" i="4"/>
  <c r="DD49" i="4" s="1"/>
  <c r="CG49" i="4"/>
  <c r="CF49" i="4"/>
  <c r="CC49" i="4"/>
  <c r="DQ48" i="4"/>
  <c r="DB48" i="4" s="1"/>
  <c r="DP48" i="4"/>
  <c r="DA48" i="4" s="1"/>
  <c r="DO48" i="4"/>
  <c r="DG48" i="4"/>
  <c r="DF48" i="4" s="1"/>
  <c r="DE48" i="4"/>
  <c r="DD48" i="4" s="1"/>
  <c r="CG48" i="4"/>
  <c r="CF48" i="4"/>
  <c r="CC48" i="4"/>
  <c r="DQ47" i="4"/>
  <c r="DB47" i="4" s="1"/>
  <c r="DP47" i="4"/>
  <c r="DA47" i="4" s="1"/>
  <c r="DO47" i="4"/>
  <c r="DG47" i="4"/>
  <c r="DF47" i="4" s="1"/>
  <c r="DE47" i="4"/>
  <c r="DD47" i="4" s="1"/>
  <c r="CG47" i="4"/>
  <c r="CF47" i="4"/>
  <c r="CC47" i="4"/>
  <c r="DQ46" i="4"/>
  <c r="DB46" i="4" s="1"/>
  <c r="DP46" i="4"/>
  <c r="DA46" i="4" s="1"/>
  <c r="DO46" i="4"/>
  <c r="DG46" i="4"/>
  <c r="DF46" i="4" s="1"/>
  <c r="DE46" i="4"/>
  <c r="DD46" i="4" s="1"/>
  <c r="CG46" i="4"/>
  <c r="CF46" i="4"/>
  <c r="CC46" i="4"/>
  <c r="DQ45" i="4"/>
  <c r="DB45" i="4" s="1"/>
  <c r="DP45" i="4"/>
  <c r="DA45" i="4" s="1"/>
  <c r="DO45" i="4"/>
  <c r="DG45" i="4"/>
  <c r="DF45" i="4" s="1"/>
  <c r="DE45" i="4"/>
  <c r="DD45" i="4" s="1"/>
  <c r="CG45" i="4"/>
  <c r="CF45" i="4"/>
  <c r="CC45" i="4"/>
  <c r="DQ44" i="4"/>
  <c r="DB44" i="4" s="1"/>
  <c r="DP44" i="4"/>
  <c r="DA44" i="4" s="1"/>
  <c r="DO44" i="4"/>
  <c r="DG44" i="4"/>
  <c r="DF44" i="4" s="1"/>
  <c r="DE44" i="4"/>
  <c r="DD44" i="4" s="1"/>
  <c r="CG44" i="4"/>
  <c r="CF44" i="4"/>
  <c r="CC44" i="4"/>
  <c r="DQ43" i="4"/>
  <c r="DB43" i="4" s="1"/>
  <c r="DP43" i="4"/>
  <c r="DA43" i="4" s="1"/>
  <c r="DO43" i="4"/>
  <c r="DG43" i="4"/>
  <c r="DF43" i="4" s="1"/>
  <c r="DE43" i="4"/>
  <c r="DD43" i="4" s="1"/>
  <c r="CG43" i="4"/>
  <c r="CF43" i="4"/>
  <c r="CC43" i="4"/>
  <c r="DQ42" i="4"/>
  <c r="DB42" i="4" s="1"/>
  <c r="DP42" i="4"/>
  <c r="DA42" i="4" s="1"/>
  <c r="DO42" i="4"/>
  <c r="DG42" i="4"/>
  <c r="DF42" i="4" s="1"/>
  <c r="DE42" i="4"/>
  <c r="DD42" i="4" s="1"/>
  <c r="CG42" i="4"/>
  <c r="DC42" i="4" s="1"/>
  <c r="CF42" i="4"/>
  <c r="CC42" i="4"/>
  <c r="DQ41" i="4"/>
  <c r="DB41" i="4" s="1"/>
  <c r="DP41" i="4"/>
  <c r="CZ41" i="4" s="1"/>
  <c r="DO41" i="4"/>
  <c r="DG41" i="4"/>
  <c r="DF41" i="4" s="1"/>
  <c r="DE41" i="4"/>
  <c r="DD41" i="4" s="1"/>
  <c r="CG41" i="4"/>
  <c r="CF41" i="4"/>
  <c r="CC41" i="4"/>
  <c r="DQ40" i="4"/>
  <c r="DB40" i="4" s="1"/>
  <c r="DP40" i="4"/>
  <c r="DA40" i="4" s="1"/>
  <c r="DO40" i="4"/>
  <c r="DG40" i="4"/>
  <c r="DF40" i="4" s="1"/>
  <c r="DE40" i="4"/>
  <c r="DD40" i="4" s="1"/>
  <c r="CG40" i="4"/>
  <c r="CF40" i="4"/>
  <c r="CC40" i="4"/>
  <c r="DQ39" i="4"/>
  <c r="DB39" i="4" s="1"/>
  <c r="DP39" i="4"/>
  <c r="DA39" i="4" s="1"/>
  <c r="DO39" i="4"/>
  <c r="DG39" i="4"/>
  <c r="DF39" i="4" s="1"/>
  <c r="DE39" i="4"/>
  <c r="DD39" i="4" s="1"/>
  <c r="CG39" i="4"/>
  <c r="CF39" i="4"/>
  <c r="CC39" i="4"/>
  <c r="DQ38" i="4"/>
  <c r="DB38" i="4" s="1"/>
  <c r="DP38" i="4"/>
  <c r="DA38" i="4" s="1"/>
  <c r="DO38" i="4"/>
  <c r="DG38" i="4"/>
  <c r="DF38" i="4" s="1"/>
  <c r="DE38" i="4"/>
  <c r="DD38" i="4" s="1"/>
  <c r="CG38" i="4"/>
  <c r="CF38" i="4"/>
  <c r="CC38" i="4"/>
  <c r="DQ37" i="4"/>
  <c r="DB37" i="4" s="1"/>
  <c r="DP37" i="4"/>
  <c r="DA37" i="4" s="1"/>
  <c r="DO37" i="4"/>
  <c r="DG37" i="4"/>
  <c r="DF37" i="4" s="1"/>
  <c r="DE37" i="4"/>
  <c r="DD37" i="4" s="1"/>
  <c r="CG37" i="4"/>
  <c r="CF37" i="4"/>
  <c r="CC37" i="4"/>
  <c r="DQ36" i="4"/>
  <c r="DB36" i="4" s="1"/>
  <c r="DP36" i="4"/>
  <c r="CZ36" i="4" s="1"/>
  <c r="DO36" i="4"/>
  <c r="DG36" i="4"/>
  <c r="DF36" i="4" s="1"/>
  <c r="DE36" i="4"/>
  <c r="DD36" i="4" s="1"/>
  <c r="CG36" i="4"/>
  <c r="CF36" i="4"/>
  <c r="CC36" i="4"/>
  <c r="DQ35" i="4"/>
  <c r="DB35" i="4" s="1"/>
  <c r="DP35" i="4"/>
  <c r="DA35" i="4" s="1"/>
  <c r="DO35" i="4"/>
  <c r="DG35" i="4"/>
  <c r="DF35" i="4" s="1"/>
  <c r="DE35" i="4"/>
  <c r="DD35" i="4" s="1"/>
  <c r="CG35" i="4"/>
  <c r="CF35" i="4"/>
  <c r="CC35" i="4"/>
  <c r="DQ34" i="4"/>
  <c r="DB34" i="4" s="1"/>
  <c r="DP34" i="4"/>
  <c r="DA34" i="4" s="1"/>
  <c r="DO34" i="4"/>
  <c r="DG34" i="4"/>
  <c r="DF34" i="4" s="1"/>
  <c r="DE34" i="4"/>
  <c r="DD34" i="4" s="1"/>
  <c r="CG34" i="4"/>
  <c r="CF34" i="4"/>
  <c r="CC34" i="4"/>
  <c r="DQ33" i="4"/>
  <c r="DB33" i="4" s="1"/>
  <c r="DP33" i="4"/>
  <c r="DA33" i="4" s="1"/>
  <c r="DO33" i="4"/>
  <c r="DG33" i="4"/>
  <c r="DF33" i="4" s="1"/>
  <c r="DE33" i="4"/>
  <c r="DD33" i="4" s="1"/>
  <c r="CG33" i="4"/>
  <c r="CF33" i="4"/>
  <c r="CC33" i="4"/>
  <c r="DQ32" i="4"/>
  <c r="DB32" i="4" s="1"/>
  <c r="DP32" i="4"/>
  <c r="DA32" i="4" s="1"/>
  <c r="DO32" i="4"/>
  <c r="DG32" i="4"/>
  <c r="DF32" i="4" s="1"/>
  <c r="DE32" i="4"/>
  <c r="DD32" i="4" s="1"/>
  <c r="DH32" i="4" s="1"/>
  <c r="CG32" i="4"/>
  <c r="CF32" i="4"/>
  <c r="CC32" i="4"/>
  <c r="DQ31" i="4"/>
  <c r="DB31" i="4" s="1"/>
  <c r="DP31" i="4"/>
  <c r="DA31" i="4" s="1"/>
  <c r="DO31" i="4"/>
  <c r="DG31" i="4"/>
  <c r="DF31" i="4" s="1"/>
  <c r="DE31" i="4"/>
  <c r="DD31" i="4" s="1"/>
  <c r="CG31" i="4"/>
  <c r="CF31" i="4"/>
  <c r="CC31" i="4"/>
  <c r="DQ30" i="4"/>
  <c r="DB30" i="4" s="1"/>
  <c r="DP30" i="4"/>
  <c r="DA30" i="4" s="1"/>
  <c r="DO30" i="4"/>
  <c r="DG30" i="4"/>
  <c r="DF30" i="4" s="1"/>
  <c r="DE30" i="4"/>
  <c r="DD30" i="4" s="1"/>
  <c r="CG30" i="4"/>
  <c r="CF30" i="4"/>
  <c r="CC30" i="4"/>
  <c r="DQ29" i="4"/>
  <c r="DB29" i="4" s="1"/>
  <c r="DP29" i="4"/>
  <c r="CZ29" i="4" s="1"/>
  <c r="DO29" i="4"/>
  <c r="DG29" i="4"/>
  <c r="DF29" i="4" s="1"/>
  <c r="DE29" i="4"/>
  <c r="DD29" i="4" s="1"/>
  <c r="CG29" i="4"/>
  <c r="CF29" i="4"/>
  <c r="CC29" i="4"/>
  <c r="DQ23" i="4"/>
  <c r="DB23" i="4" s="1"/>
  <c r="DP23" i="4"/>
  <c r="DA23" i="4" s="1"/>
  <c r="DO23" i="4"/>
  <c r="DG23" i="4"/>
  <c r="DF23" i="4" s="1"/>
  <c r="DE23" i="4"/>
  <c r="DD23" i="4" s="1"/>
  <c r="CG23" i="4"/>
  <c r="CF23" i="4"/>
  <c r="CC23" i="4"/>
  <c r="DQ27" i="4"/>
  <c r="DB27" i="4" s="1"/>
  <c r="DP27" i="4"/>
  <c r="CZ27" i="4" s="1"/>
  <c r="DO27" i="4"/>
  <c r="DG27" i="4"/>
  <c r="DF27" i="4" s="1"/>
  <c r="DE27" i="4"/>
  <c r="DD27" i="4" s="1"/>
  <c r="CG27" i="4"/>
  <c r="CF27" i="4"/>
  <c r="CC27" i="4"/>
  <c r="DQ24" i="4"/>
  <c r="DB24" i="4" s="1"/>
  <c r="DP24" i="4"/>
  <c r="DA24" i="4" s="1"/>
  <c r="DO24" i="4"/>
  <c r="DG24" i="4"/>
  <c r="DF24" i="4" s="1"/>
  <c r="DE24" i="4"/>
  <c r="DD24" i="4"/>
  <c r="CG24" i="4"/>
  <c r="CF24" i="4"/>
  <c r="CC24" i="4"/>
  <c r="DQ19" i="4"/>
  <c r="DB19" i="4" s="1"/>
  <c r="DP19" i="4"/>
  <c r="CZ19" i="4" s="1"/>
  <c r="DO19" i="4"/>
  <c r="DG19" i="4"/>
  <c r="DF19" i="4" s="1"/>
  <c r="DE19" i="4"/>
  <c r="DD19" i="4" s="1"/>
  <c r="DA19" i="4"/>
  <c r="CG19" i="4"/>
  <c r="CF19" i="4"/>
  <c r="CC19" i="4"/>
  <c r="DQ25" i="4"/>
  <c r="DB25" i="4" s="1"/>
  <c r="DP25" i="4"/>
  <c r="DA25" i="4" s="1"/>
  <c r="DO25" i="4"/>
  <c r="DG25" i="4"/>
  <c r="DF25" i="4" s="1"/>
  <c r="DE25" i="4"/>
  <c r="DD25" i="4" s="1"/>
  <c r="CG25" i="4"/>
  <c r="CF25" i="4"/>
  <c r="CC25" i="4"/>
  <c r="DQ18" i="4"/>
  <c r="DB18" i="4" s="1"/>
  <c r="DP18" i="4"/>
  <c r="DA18" i="4" s="1"/>
  <c r="DO18" i="4"/>
  <c r="DG18" i="4"/>
  <c r="DF18" i="4" s="1"/>
  <c r="DE18" i="4"/>
  <c r="DD18" i="4" s="1"/>
  <c r="CG18" i="4"/>
  <c r="CF18" i="4"/>
  <c r="CC18" i="4"/>
  <c r="DQ16" i="4"/>
  <c r="DB16" i="4" s="1"/>
  <c r="DP16" i="4"/>
  <c r="DA16" i="4" s="1"/>
  <c r="DO16" i="4"/>
  <c r="DG16" i="4"/>
  <c r="DF16" i="4" s="1"/>
  <c r="DE16" i="4"/>
  <c r="DD16" i="4" s="1"/>
  <c r="CF16" i="4"/>
  <c r="CC16" i="4"/>
  <c r="DQ17" i="4"/>
  <c r="DB17" i="4" s="1"/>
  <c r="DP17" i="4"/>
  <c r="DA17" i="4" s="1"/>
  <c r="DO17" i="4"/>
  <c r="DG17" i="4"/>
  <c r="DF17" i="4" s="1"/>
  <c r="DE17" i="4"/>
  <c r="DD17" i="4" s="1"/>
  <c r="CG17" i="4"/>
  <c r="CF17" i="4"/>
  <c r="CC17" i="4"/>
  <c r="DQ13" i="4"/>
  <c r="DB13" i="4" s="1"/>
  <c r="DP13" i="4"/>
  <c r="CZ13" i="4" s="1"/>
  <c r="DO13" i="4"/>
  <c r="DG13" i="4"/>
  <c r="DF13" i="4" s="1"/>
  <c r="DE13" i="4"/>
  <c r="DD13" i="4" s="1"/>
  <c r="DA13" i="4"/>
  <c r="CG13" i="4"/>
  <c r="CF13" i="4"/>
  <c r="CC13" i="4"/>
  <c r="DQ15" i="4"/>
  <c r="DB15" i="4" s="1"/>
  <c r="DP15" i="4"/>
  <c r="DA15" i="4" s="1"/>
  <c r="DO15" i="4"/>
  <c r="DG15" i="4"/>
  <c r="DF15" i="4" s="1"/>
  <c r="DE15" i="4"/>
  <c r="DD15" i="4" s="1"/>
  <c r="CF15" i="4"/>
  <c r="CC15" i="4"/>
  <c r="DQ4" i="4"/>
  <c r="DB4" i="4" s="1"/>
  <c r="DP4" i="4"/>
  <c r="DA4" i="4" s="1"/>
  <c r="DO4" i="4"/>
  <c r="DG4" i="4"/>
  <c r="DF4" i="4" s="1"/>
  <c r="DE4" i="4"/>
  <c r="DD4" i="4" s="1"/>
  <c r="CG4" i="4"/>
  <c r="CF4" i="4"/>
  <c r="CC4" i="4"/>
  <c r="DQ11" i="4"/>
  <c r="DB11" i="4" s="1"/>
  <c r="DP11" i="4"/>
  <c r="CZ11" i="4" s="1"/>
  <c r="DO11" i="4"/>
  <c r="DG11" i="4"/>
  <c r="DF11" i="4" s="1"/>
  <c r="DJ11" i="4" s="1"/>
  <c r="DE11" i="4"/>
  <c r="DD11" i="4" s="1"/>
  <c r="CF11" i="4"/>
  <c r="CC11" i="4"/>
  <c r="DQ8" i="4"/>
  <c r="DB8" i="4" s="1"/>
  <c r="DP8" i="4"/>
  <c r="DA8" i="4" s="1"/>
  <c r="DO8" i="4"/>
  <c r="DG8" i="4"/>
  <c r="DF8" i="4" s="1"/>
  <c r="DE8" i="4"/>
  <c r="DD8" i="4" s="1"/>
  <c r="CF8" i="4"/>
  <c r="CC8" i="4"/>
  <c r="DQ12" i="4"/>
  <c r="DB12" i="4" s="1"/>
  <c r="DP12" i="4"/>
  <c r="DA12" i="4" s="1"/>
  <c r="DO12" i="4"/>
  <c r="DG12" i="4"/>
  <c r="DF12" i="4" s="1"/>
  <c r="DE12" i="4"/>
  <c r="DD12" i="4" s="1"/>
  <c r="CG12" i="4"/>
  <c r="CF12" i="4"/>
  <c r="CC12" i="4"/>
  <c r="DQ7" i="4"/>
  <c r="DB7" i="4" s="1"/>
  <c r="DP7" i="4"/>
  <c r="DA7" i="4" s="1"/>
  <c r="DO7" i="4"/>
  <c r="DG7" i="4"/>
  <c r="DF7" i="4" s="1"/>
  <c r="DE7" i="4"/>
  <c r="DD7" i="4" s="1"/>
  <c r="CG7" i="4"/>
  <c r="CF7" i="4"/>
  <c r="CC7" i="4"/>
  <c r="DQ10" i="4"/>
  <c r="DB10" i="4" s="1"/>
  <c r="DP10" i="4"/>
  <c r="DA10" i="4" s="1"/>
  <c r="DO10" i="4"/>
  <c r="DG10" i="4"/>
  <c r="DF10" i="4" s="1"/>
  <c r="DE10" i="4"/>
  <c r="DD10" i="4" s="1"/>
  <c r="CG10" i="4"/>
  <c r="CF10" i="4"/>
  <c r="CC10" i="4"/>
  <c r="DQ9" i="4"/>
  <c r="DB9" i="4" s="1"/>
  <c r="DP9" i="4"/>
  <c r="CZ9" i="4" s="1"/>
  <c r="DO9" i="4"/>
  <c r="DG9" i="4"/>
  <c r="DF9" i="4" s="1"/>
  <c r="DE9" i="4"/>
  <c r="DD9" i="4" s="1"/>
  <c r="CG9" i="4"/>
  <c r="CF9" i="4"/>
  <c r="CC9" i="4"/>
  <c r="DQ14" i="4"/>
  <c r="DB14" i="4" s="1"/>
  <c r="DP14" i="4"/>
  <c r="CZ14" i="4" s="1"/>
  <c r="DO14" i="4"/>
  <c r="DG14" i="4"/>
  <c r="DF14" i="4" s="1"/>
  <c r="DE14" i="4"/>
  <c r="DD14" i="4" s="1"/>
  <c r="DA14" i="4"/>
  <c r="CG14" i="4"/>
  <c r="CF14" i="4"/>
  <c r="CC14" i="4"/>
  <c r="DQ5" i="4"/>
  <c r="DB5" i="4" s="1"/>
  <c r="DP5" i="4"/>
  <c r="CZ5" i="4" s="1"/>
  <c r="DO5" i="4"/>
  <c r="DG5" i="4"/>
  <c r="DF5" i="4" s="1"/>
  <c r="DE5" i="4"/>
  <c r="DD5" i="4" s="1"/>
  <c r="CG5" i="4"/>
  <c r="CF5" i="4"/>
  <c r="CC5" i="4"/>
  <c r="DQ3" i="4"/>
  <c r="DB3" i="4" s="1"/>
  <c r="DP3" i="4"/>
  <c r="DA3" i="4" s="1"/>
  <c r="DO3" i="4"/>
  <c r="DG3" i="4"/>
  <c r="DF3" i="4" s="1"/>
  <c r="DE3" i="4"/>
  <c r="DD3" i="4" s="1"/>
  <c r="CG3" i="4"/>
  <c r="CF3" i="4"/>
  <c r="CC3" i="4"/>
  <c r="DQ6" i="4"/>
  <c r="DB6" i="4" s="1"/>
  <c r="DP6" i="4"/>
  <c r="DA6" i="4" s="1"/>
  <c r="DO6" i="4"/>
  <c r="DG6" i="4"/>
  <c r="DF6" i="4" s="1"/>
  <c r="DE6" i="4"/>
  <c r="DD6" i="4" s="1"/>
  <c r="CG6" i="4"/>
  <c r="CF6" i="4"/>
  <c r="CC6" i="4"/>
  <c r="DC14" i="4" l="1"/>
  <c r="DA73" i="4"/>
  <c r="DC3" i="4"/>
  <c r="CZ23" i="4"/>
  <c r="CZ22" i="4"/>
  <c r="DH22" i="4"/>
  <c r="DI52" i="4"/>
  <c r="DC30" i="4"/>
  <c r="DH95" i="4"/>
  <c r="CZ2" i="4"/>
  <c r="CZ42" i="4"/>
  <c r="DJ42" i="4" s="1"/>
  <c r="DC45" i="4"/>
  <c r="DI45" i="4" s="1"/>
  <c r="DH2" i="4"/>
  <c r="CZ51" i="4"/>
  <c r="DC19" i="4"/>
  <c r="DH41" i="4"/>
  <c r="DC44" i="4"/>
  <c r="DI44" i="4" s="1"/>
  <c r="DH6" i="4"/>
  <c r="DJ9" i="4"/>
  <c r="DC24" i="4"/>
  <c r="DC36" i="4"/>
  <c r="DI36" i="4" s="1"/>
  <c r="DH12" i="4"/>
  <c r="DH60" i="4"/>
  <c r="CZ95" i="4"/>
  <c r="DH28" i="4"/>
  <c r="DC5" i="4"/>
  <c r="DH33" i="4"/>
  <c r="DC56" i="4"/>
  <c r="DI56" i="4" s="1"/>
  <c r="DC22" i="4"/>
  <c r="DI22" i="4" s="1"/>
  <c r="DC2" i="4"/>
  <c r="DI2" i="4" s="1"/>
  <c r="DC23" i="4"/>
  <c r="DC38" i="4"/>
  <c r="DI38" i="4" s="1"/>
  <c r="DC20" i="4"/>
  <c r="DI20" i="4" s="1"/>
  <c r="DC10" i="4"/>
  <c r="CZ8" i="4"/>
  <c r="DJ8" i="4" s="1"/>
  <c r="CZ18" i="4"/>
  <c r="DC27" i="4"/>
  <c r="DC50" i="4"/>
  <c r="DJ88" i="4"/>
  <c r="DH92" i="4"/>
  <c r="DH20" i="4"/>
  <c r="DC6" i="4"/>
  <c r="DI6" i="4" s="1"/>
  <c r="DH18" i="4"/>
  <c r="DC18" i="4"/>
  <c r="DI18" i="4" s="1"/>
  <c r="DJ19" i="4"/>
  <c r="DC32" i="4"/>
  <c r="DC37" i="4"/>
  <c r="DI37" i="4" s="1"/>
  <c r="DC51" i="4"/>
  <c r="DI51" i="4" s="1"/>
  <c r="CZ45" i="4"/>
  <c r="DJ45" i="4" s="1"/>
  <c r="DC49" i="4"/>
  <c r="DI49" i="4" s="1"/>
  <c r="DH52" i="4"/>
  <c r="DA36" i="4"/>
  <c r="DC40" i="4"/>
  <c r="DI40" i="4" s="1"/>
  <c r="DJ13" i="4"/>
  <c r="DC7" i="4"/>
  <c r="DI7" i="4" s="1"/>
  <c r="DJ18" i="4"/>
  <c r="DC35" i="4"/>
  <c r="DI35" i="4" s="1"/>
  <c r="DC39" i="4"/>
  <c r="CZ40" i="4"/>
  <c r="CZ49" i="4"/>
  <c r="DJ49" i="4" s="1"/>
  <c r="DH68" i="4"/>
  <c r="CZ82" i="4"/>
  <c r="DJ14" i="4"/>
  <c r="DH9" i="4"/>
  <c r="DA27" i="4"/>
  <c r="DH23" i="4"/>
  <c r="DC54" i="4"/>
  <c r="DI54" i="4" s="1"/>
  <c r="DC21" i="4"/>
  <c r="DI24" i="4"/>
  <c r="DH27" i="4"/>
  <c r="CZ39" i="4"/>
  <c r="DJ40" i="4"/>
  <c r="DH44" i="4"/>
  <c r="DJ55" i="4"/>
  <c r="CZ67" i="4"/>
  <c r="DJ67" i="4" s="1"/>
  <c r="DH85" i="4"/>
  <c r="DH87" i="4"/>
  <c r="DJ22" i="4"/>
  <c r="CZ24" i="4"/>
  <c r="DC34" i="4"/>
  <c r="DI34" i="4" s="1"/>
  <c r="DC43" i="4"/>
  <c r="DJ75" i="4"/>
  <c r="CZ21" i="4"/>
  <c r="DA11" i="4"/>
  <c r="DH24" i="4"/>
  <c r="CZ71" i="4"/>
  <c r="DJ71" i="4" s="1"/>
  <c r="CZ74" i="4"/>
  <c r="CZ93" i="4"/>
  <c r="DJ93" i="4" s="1"/>
  <c r="DH98" i="4"/>
  <c r="DC13" i="4"/>
  <c r="DI13" i="4" s="1"/>
  <c r="DC25" i="4"/>
  <c r="DI25" i="4" s="1"/>
  <c r="DC33" i="4"/>
  <c r="DI33" i="4" s="1"/>
  <c r="DH36" i="4"/>
  <c r="DC47" i="4"/>
  <c r="DI47" i="4" s="1"/>
  <c r="DC57" i="4"/>
  <c r="DA81" i="4"/>
  <c r="DJ21" i="4"/>
  <c r="DJ81" i="4"/>
  <c r="DH84" i="4"/>
  <c r="DH93" i="4"/>
  <c r="DC95" i="4"/>
  <c r="DC28" i="4"/>
  <c r="DI28" i="4" s="1"/>
  <c r="DI21" i="4"/>
  <c r="DI10" i="4"/>
  <c r="DI30" i="4"/>
  <c r="DI57" i="4"/>
  <c r="DH71" i="4"/>
  <c r="DH21" i="4"/>
  <c r="DH63" i="4"/>
  <c r="DH66" i="4"/>
  <c r="DH26" i="4"/>
  <c r="DC12" i="4"/>
  <c r="DI12" i="4" s="1"/>
  <c r="CZ25" i="4"/>
  <c r="DJ25" i="4" s="1"/>
  <c r="DI23" i="4"/>
  <c r="DC41" i="4"/>
  <c r="DI41" i="4" s="1"/>
  <c r="DJ51" i="4"/>
  <c r="DI19" i="4"/>
  <c r="DI32" i="4"/>
  <c r="DI42" i="4"/>
  <c r="DH11" i="4"/>
  <c r="CZ10" i="4"/>
  <c r="CZ12" i="4"/>
  <c r="DJ12" i="4" s="1"/>
  <c r="DH19" i="4"/>
  <c r="DJ23" i="4"/>
  <c r="CZ35" i="4"/>
  <c r="DJ35" i="4" s="1"/>
  <c r="CZ37" i="4"/>
  <c r="DJ37" i="4" s="1"/>
  <c r="DI39" i="4"/>
  <c r="DH42" i="4"/>
  <c r="DH48" i="4"/>
  <c r="CZ63" i="4"/>
  <c r="DJ63" i="4" s="1"/>
  <c r="DH82" i="4"/>
  <c r="CZ87" i="4"/>
  <c r="DJ87" i="4" s="1"/>
  <c r="CZ92" i="4"/>
  <c r="DH8" i="4"/>
  <c r="CZ6" i="4"/>
  <c r="DJ6" i="4" s="1"/>
  <c r="DC9" i="4"/>
  <c r="DI9" i="4" s="1"/>
  <c r="DC17" i="4"/>
  <c r="DI17" i="4" s="1"/>
  <c r="DH16" i="4"/>
  <c r="DJ27" i="4"/>
  <c r="CZ32" i="4"/>
  <c r="DJ32" i="4" s="1"/>
  <c r="CZ33" i="4"/>
  <c r="DJ33" i="4" s="1"/>
  <c r="CZ38" i="4"/>
  <c r="DJ38" i="4" s="1"/>
  <c r="DJ41" i="4"/>
  <c r="DC55" i="4"/>
  <c r="DI55" i="4" s="1"/>
  <c r="DJ58" i="4"/>
  <c r="CZ62" i="4"/>
  <c r="DJ62" i="4" s="1"/>
  <c r="CZ26" i="4"/>
  <c r="DJ26" i="4" s="1"/>
  <c r="CZ80" i="4"/>
  <c r="DJ80" i="4" s="1"/>
  <c r="DJ82" i="4"/>
  <c r="CZ86" i="4"/>
  <c r="DJ86" i="4" s="1"/>
  <c r="DH88" i="4"/>
  <c r="DI5" i="4"/>
  <c r="DH7" i="4"/>
  <c r="DH4" i="4"/>
  <c r="CZ54" i="4"/>
  <c r="DJ54" i="4" s="1"/>
  <c r="CZ68" i="4"/>
  <c r="DJ68" i="4" s="1"/>
  <c r="DJ74" i="4"/>
  <c r="DH76" i="4"/>
  <c r="DH81" i="4"/>
  <c r="DJ95" i="4"/>
  <c r="DH30" i="4"/>
  <c r="CZ17" i="4"/>
  <c r="DJ17" i="4" s="1"/>
  <c r="DC31" i="4"/>
  <c r="DI31" i="4" s="1"/>
  <c r="DH34" i="4"/>
  <c r="DH35" i="4"/>
  <c r="DH40" i="4"/>
  <c r="DC48" i="4"/>
  <c r="DI48" i="4" s="1"/>
  <c r="DC53" i="4"/>
  <c r="DI53" i="4" s="1"/>
  <c r="DH55" i="4"/>
  <c r="DJ56" i="4"/>
  <c r="CZ60" i="4"/>
  <c r="DJ60" i="4" s="1"/>
  <c r="CZ61" i="4"/>
  <c r="DJ61" i="4" s="1"/>
  <c r="DH75" i="4"/>
  <c r="CZ85" i="4"/>
  <c r="DJ85" i="4" s="1"/>
  <c r="CZ89" i="4"/>
  <c r="DJ89" i="4" s="1"/>
  <c r="CZ3" i="4"/>
  <c r="DJ3" i="4" s="1"/>
  <c r="DH10" i="4"/>
  <c r="DH25" i="4"/>
  <c r="CZ30" i="4"/>
  <c r="DJ30" i="4" s="1"/>
  <c r="DH37" i="4"/>
  <c r="DH39" i="4"/>
  <c r="DC46" i="4"/>
  <c r="DI46" i="4" s="1"/>
  <c r="CZ47" i="4"/>
  <c r="DH58" i="4"/>
  <c r="DH62" i="4"/>
  <c r="CZ66" i="4"/>
  <c r="DJ66" i="4" s="1"/>
  <c r="CZ77" i="4"/>
  <c r="DJ77" i="4" s="1"/>
  <c r="DH89" i="4"/>
  <c r="CZ97" i="4"/>
  <c r="DJ97" i="4" s="1"/>
  <c r="CZ28" i="4"/>
  <c r="DJ28" i="4" s="1"/>
  <c r="DJ10" i="4"/>
  <c r="DH31" i="4"/>
  <c r="DJ36" i="4"/>
  <c r="DJ39" i="4"/>
  <c r="CZ44" i="4"/>
  <c r="DJ44" i="4" s="1"/>
  <c r="CZ48" i="4"/>
  <c r="DJ48" i="4" s="1"/>
  <c r="CZ52" i="4"/>
  <c r="DJ52" i="4" s="1"/>
  <c r="CZ53" i="4"/>
  <c r="DJ53" i="4" s="1"/>
  <c r="DJ57" i="4"/>
  <c r="DH64" i="4"/>
  <c r="CZ72" i="4"/>
  <c r="DJ72" i="4" s="1"/>
  <c r="DH74" i="4"/>
  <c r="DH77" i="4"/>
  <c r="CZ84" i="4"/>
  <c r="DJ84" i="4" s="1"/>
  <c r="DJ92" i="4"/>
  <c r="DJ20" i="4"/>
  <c r="DJ2" i="4"/>
  <c r="DH15" i="4"/>
  <c r="DC29" i="4"/>
  <c r="DI29" i="4" s="1"/>
  <c r="CZ50" i="4"/>
  <c r="DJ50" i="4" s="1"/>
  <c r="DH54" i="4"/>
  <c r="DH61" i="4"/>
  <c r="DH69" i="4"/>
  <c r="DH73" i="4"/>
  <c r="CZ83" i="4"/>
  <c r="DJ83" i="4" s="1"/>
  <c r="DH91" i="4"/>
  <c r="DH5" i="4"/>
  <c r="DC4" i="4"/>
  <c r="DI4" i="4" s="1"/>
  <c r="DI43" i="4"/>
  <c r="DH46" i="4"/>
  <c r="DH67" i="4"/>
  <c r="DH79" i="4"/>
  <c r="DH97" i="4"/>
  <c r="DH49" i="4"/>
  <c r="DH72" i="4"/>
  <c r="DJ5" i="4"/>
  <c r="DH17" i="4"/>
  <c r="DJ24" i="4"/>
  <c r="DH43" i="4"/>
  <c r="DH45" i="4"/>
  <c r="DJ47" i="4"/>
  <c r="DH83" i="4"/>
  <c r="DH96" i="4"/>
  <c r="DH38" i="4"/>
  <c r="DI3" i="4"/>
  <c r="DH53" i="4"/>
  <c r="DI14" i="4"/>
  <c r="DH14" i="4"/>
  <c r="DH47" i="4"/>
  <c r="DH59" i="4"/>
  <c r="DJ43" i="4"/>
  <c r="DH13" i="4"/>
  <c r="DI27" i="4"/>
  <c r="DH29" i="4"/>
  <c r="DI50" i="4"/>
  <c r="DH65" i="4"/>
  <c r="DH3" i="4"/>
  <c r="DJ29" i="4"/>
  <c r="DH50" i="4"/>
  <c r="DH51" i="4"/>
  <c r="DH70" i="4"/>
  <c r="DI95" i="4"/>
  <c r="CZ4" i="4"/>
  <c r="DJ4" i="4" s="1"/>
  <c r="CZ98" i="4"/>
  <c r="DJ98" i="4" s="1"/>
  <c r="DA29" i="4"/>
  <c r="CZ34" i="4"/>
  <c r="DJ34" i="4" s="1"/>
  <c r="DA41" i="4"/>
  <c r="DA58" i="4"/>
  <c r="DA88" i="4"/>
  <c r="CZ31" i="4"/>
  <c r="DJ31" i="4" s="1"/>
  <c r="CZ43" i="4"/>
  <c r="CZ7" i="4"/>
  <c r="DJ7" i="4" s="1"/>
  <c r="DA9" i="4"/>
  <c r="DA55" i="4"/>
  <c r="CZ64" i="4"/>
  <c r="DJ64" i="4" s="1"/>
  <c r="CZ46" i="4"/>
  <c r="DJ46" i="4" s="1"/>
  <c r="DA5" i="4"/>
  <c r="CZ59" i="4"/>
  <c r="DJ59" i="4" s="1"/>
  <c r="CZ65" i="4"/>
  <c r="DJ65" i="4" s="1"/>
  <c r="CZ70" i="4"/>
  <c r="DJ70" i="4" s="1"/>
  <c r="CZ78" i="4"/>
  <c r="DJ78" i="4" s="1"/>
  <c r="CZ90" i="4"/>
  <c r="DJ90" i="4" s="1"/>
  <c r="DA20" i="4"/>
  <c r="CZ69" i="4"/>
  <c r="DJ69" i="4" s="1"/>
  <c r="CZ76" i="4"/>
  <c r="DJ76" i="4" s="1"/>
  <c r="CZ15" i="4"/>
  <c r="DJ15" i="4" s="1"/>
  <c r="CZ16" i="4"/>
  <c r="DJ16" i="4" s="1"/>
  <c r="CZ79" i="4"/>
  <c r="DJ79" i="4" s="1"/>
  <c r="CZ91" i="4"/>
  <c r="DJ91" i="4" s="1"/>
  <c r="CZ96" i="4"/>
  <c r="DJ96" i="4" s="1"/>
  <c r="D2" i="3" l="1"/>
  <c r="G2" i="3"/>
  <c r="D3" i="3"/>
  <c r="G3" i="3"/>
  <c r="D4" i="3"/>
  <c r="G4" i="3"/>
  <c r="D5" i="3"/>
  <c r="G5" i="3"/>
  <c r="D6" i="3"/>
  <c r="G6" i="3"/>
  <c r="D7" i="3"/>
  <c r="G7" i="3"/>
  <c r="D8" i="3"/>
  <c r="G8" i="3"/>
  <c r="D9" i="3"/>
  <c r="G9" i="3"/>
  <c r="D10" i="3"/>
  <c r="G10" i="3"/>
  <c r="D11" i="3"/>
  <c r="G11" i="3"/>
  <c r="D12" i="3"/>
  <c r="G12" i="3"/>
  <c r="D13" i="3"/>
  <c r="G13" i="3"/>
  <c r="D14" i="3"/>
  <c r="G14" i="3"/>
  <c r="D15" i="3"/>
  <c r="G15" i="3"/>
  <c r="D16" i="3"/>
  <c r="G16" i="3"/>
  <c r="D17" i="3"/>
  <c r="G17" i="3"/>
</calcChain>
</file>

<file path=xl/comments1.xml><?xml version="1.0" encoding="utf-8"?>
<comments xmlns="http://schemas.openxmlformats.org/spreadsheetml/2006/main">
  <authors>
    <author>이상곤</author>
  </authors>
  <commentList>
    <comment ref="C1" authorId="0" shapeId="0">
      <text>
        <r>
          <rPr>
            <b/>
            <sz val="9"/>
            <color indexed="81"/>
            <rFont val="돋움"/>
            <family val="3"/>
            <charset val="129"/>
          </rPr>
          <t>이상곤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1: male
2: female</t>
        </r>
      </text>
    </comment>
    <comment ref="G1" authorId="0" shapeId="0">
      <text>
        <r>
          <rPr>
            <b/>
            <sz val="9"/>
            <color indexed="81"/>
            <rFont val="돋움"/>
            <family val="3"/>
            <charset val="129"/>
          </rPr>
          <t>이상곤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 : bulbar
2: limb</t>
        </r>
      </text>
    </comment>
    <comment ref="J1" authorId="0" shapeId="0">
      <text>
        <r>
          <rPr>
            <b/>
            <sz val="9"/>
            <color indexed="81"/>
            <rFont val="돋움"/>
            <family val="3"/>
            <charset val="129"/>
          </rPr>
          <t>이상곤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0: none
1: yea at least one time</t>
        </r>
      </text>
    </comment>
  </commentList>
</comments>
</file>

<file path=xl/sharedStrings.xml><?xml version="1.0" encoding="utf-8"?>
<sst xmlns="http://schemas.openxmlformats.org/spreadsheetml/2006/main" count="1814" uniqueCount="687">
  <si>
    <t>MND</t>
  </si>
  <si>
    <t>001-142</t>
  </si>
  <si>
    <t>001-140</t>
  </si>
  <si>
    <t>001-022</t>
  </si>
  <si>
    <t>001-104</t>
  </si>
  <si>
    <t>001-021</t>
  </si>
  <si>
    <t>001-146</t>
  </si>
  <si>
    <t>001-037</t>
  </si>
  <si>
    <t>001-137</t>
  </si>
  <si>
    <t>001-171</t>
  </si>
  <si>
    <t>001-177</t>
  </si>
  <si>
    <t>001-172</t>
  </si>
  <si>
    <t>001-185</t>
  </si>
  <si>
    <t>001-181</t>
  </si>
  <si>
    <t>001-102</t>
  </si>
  <si>
    <t>001-198</t>
  </si>
  <si>
    <t>001-193</t>
  </si>
  <si>
    <t>001-199</t>
  </si>
  <si>
    <t>001-209</t>
  </si>
  <si>
    <t>001-197</t>
  </si>
  <si>
    <t>001-043</t>
  </si>
  <si>
    <t>001-047</t>
  </si>
  <si>
    <t>001-066</t>
  </si>
  <si>
    <t>001-082</t>
  </si>
  <si>
    <t>001-057</t>
  </si>
  <si>
    <t>001-135</t>
  </si>
  <si>
    <t>001-113</t>
  </si>
  <si>
    <t>001-188</t>
  </si>
  <si>
    <t>001-076</t>
  </si>
  <si>
    <t>001-089</t>
  </si>
  <si>
    <t>001-014</t>
  </si>
  <si>
    <t>001-125</t>
  </si>
  <si>
    <t>001-114</t>
  </si>
  <si>
    <t>001-005</t>
  </si>
  <si>
    <t>001-080</t>
  </si>
  <si>
    <t>001-071</t>
  </si>
  <si>
    <t>001-119</t>
  </si>
  <si>
    <t>001-124</t>
  </si>
  <si>
    <t>001-099</t>
  </si>
  <si>
    <t>001-087</t>
  </si>
  <si>
    <t>001-094</t>
  </si>
  <si>
    <t>001-055</t>
  </si>
  <si>
    <t>001-038</t>
  </si>
  <si>
    <t>001-120</t>
  </si>
  <si>
    <t>001-088</t>
  </si>
  <si>
    <t>001-069</t>
  </si>
  <si>
    <t>001-019</t>
  </si>
  <si>
    <t>001-219</t>
  </si>
  <si>
    <t>001-196</t>
  </si>
  <si>
    <t>001-200</t>
  </si>
  <si>
    <t>001-115</t>
  </si>
  <si>
    <t>001-100</t>
  </si>
  <si>
    <t>001-210</t>
  </si>
  <si>
    <t>001-211</t>
  </si>
  <si>
    <t>001-029</t>
  </si>
  <si>
    <t>001-045</t>
  </si>
  <si>
    <t>001-062</t>
  </si>
  <si>
    <t>001-013</t>
  </si>
  <si>
    <t>001-175</t>
  </si>
  <si>
    <t>001-187</t>
  </si>
  <si>
    <t>001-208</t>
  </si>
  <si>
    <t>001-202</t>
  </si>
  <si>
    <t>001-204</t>
  </si>
  <si>
    <t>001-183</t>
  </si>
  <si>
    <t>001-180</t>
  </si>
  <si>
    <t>001-159</t>
  </si>
  <si>
    <t>001-156</t>
  </si>
  <si>
    <t>001-153</t>
  </si>
  <si>
    <t>001-155</t>
  </si>
  <si>
    <t>001-150</t>
  </si>
  <si>
    <t>001-143</t>
  </si>
  <si>
    <t>001-144</t>
  </si>
  <si>
    <t>001-139</t>
  </si>
  <si>
    <t>001-121</t>
  </si>
  <si>
    <t>001-112</t>
  </si>
  <si>
    <t>001-068</t>
  </si>
  <si>
    <t>001-205</t>
  </si>
  <si>
    <t>001-206</t>
  </si>
  <si>
    <t>001-214</t>
  </si>
  <si>
    <t>001-064</t>
  </si>
  <si>
    <t>001-213</t>
  </si>
  <si>
    <t>001-176</t>
  </si>
  <si>
    <t>001-009</t>
  </si>
  <si>
    <t>2017-10-18</t>
  </si>
  <si>
    <t>2017-11-13</t>
  </si>
  <si>
    <t>2015-04-22</t>
  </si>
  <si>
    <t>2015-05-18</t>
  </si>
  <si>
    <t>2016-06-02</t>
  </si>
  <si>
    <t>2016-06-28</t>
  </si>
  <si>
    <t>2015-04-16</t>
  </si>
  <si>
    <t>2015-05-12</t>
  </si>
  <si>
    <t>2017-11-23</t>
  </si>
  <si>
    <t>2017-12-19</t>
  </si>
  <si>
    <t>2015-06-03</t>
  </si>
  <si>
    <t>2015-06-29</t>
  </si>
  <si>
    <t>2017-08-25</t>
  </si>
  <si>
    <t>2017-09-20</t>
  </si>
  <si>
    <t>2017-12-28</t>
  </si>
  <si>
    <t>2018-01-23</t>
  </si>
  <si>
    <t>2018-07-19</t>
  </si>
  <si>
    <t>2018-08-14</t>
  </si>
  <si>
    <t>2015-06-11</t>
  </si>
  <si>
    <t>2015-07-07</t>
  </si>
  <si>
    <t>2015-06-18</t>
  </si>
  <si>
    <t>2015-07-14</t>
  </si>
  <si>
    <t>2015-08-05</t>
  </si>
  <si>
    <t>2015-08-31</t>
  </si>
  <si>
    <t>2015-09-24</t>
  </si>
  <si>
    <t>2015-10-20</t>
  </si>
  <si>
    <t>2015-07-08</t>
  </si>
  <si>
    <t>2015-08-03</t>
  </si>
  <si>
    <t>2016-10-19</t>
  </si>
  <si>
    <t>2016-11-14</t>
  </si>
  <si>
    <t>2015-08-27</t>
  </si>
  <si>
    <t>2015-09-22</t>
  </si>
  <si>
    <t>2015-11-25</t>
  </si>
  <si>
    <t>2015-12-21</t>
  </si>
  <si>
    <t>2015-04-02</t>
  </si>
  <si>
    <t>2015-04-28</t>
  </si>
  <si>
    <t>2017-03-23</t>
  </si>
  <si>
    <t>2017-04-18</t>
  </si>
  <si>
    <t>2016-11-17</t>
  </si>
  <si>
    <t>2016-12-13</t>
  </si>
  <si>
    <t>2015-03-11</t>
  </si>
  <si>
    <t>2015-04-06</t>
  </si>
  <si>
    <t>2015-09-23</t>
  </si>
  <si>
    <t>2015-10-19</t>
  </si>
  <si>
    <t>2015-08-20</t>
  </si>
  <si>
    <t>2015-09-15</t>
  </si>
  <si>
    <t>2017-01-11</t>
  </si>
  <si>
    <t>2017-02-06</t>
  </si>
  <si>
    <t>2017-03-16</t>
  </si>
  <si>
    <t>2017-04-11</t>
  </si>
  <si>
    <t>2016-03-10</t>
  </si>
  <si>
    <t>2016-04-05</t>
  </si>
  <si>
    <t>2015-10-22</t>
  </si>
  <si>
    <t>2015-11-17</t>
  </si>
  <si>
    <t>2015-12-03</t>
  </si>
  <si>
    <t>2015-12-29</t>
  </si>
  <si>
    <t>2015-07-02</t>
  </si>
  <si>
    <t>2015-07-28</t>
  </si>
  <si>
    <t>2017-01-18</t>
  </si>
  <si>
    <t>2017-02-13</t>
  </si>
  <si>
    <t>2015-11-04</t>
  </si>
  <si>
    <t>2015-11-30</t>
  </si>
  <si>
    <t>2015-08-19</t>
  </si>
  <si>
    <t>2015-09-14</t>
  </si>
  <si>
    <t>2015-04-15</t>
  </si>
  <si>
    <t>2015-05-11</t>
  </si>
  <si>
    <t>2015-05-07</t>
  </si>
  <si>
    <t>2015-06-02</t>
  </si>
  <si>
    <t>2015-06-17</t>
  </si>
  <si>
    <t>2015-07-13</t>
  </si>
  <si>
    <t>2015-07-29</t>
  </si>
  <si>
    <t>2015-08-24</t>
  </si>
  <si>
    <t>2015-04-01</t>
  </si>
  <si>
    <t>2015-04-27</t>
  </si>
  <si>
    <t>2018-08-10</t>
  </si>
  <si>
    <t>2018-09-05</t>
  </si>
  <si>
    <t>2018-05-30</t>
  </si>
  <si>
    <t>2018-03-30</t>
  </si>
  <si>
    <t>2018-04-25</t>
  </si>
  <si>
    <t>2018-03-09</t>
  </si>
  <si>
    <t>2018-04-03</t>
  </si>
  <si>
    <t>2018-02-23</t>
  </si>
  <si>
    <t>2018-03-21</t>
  </si>
  <si>
    <t>2017-12-22</t>
  </si>
  <si>
    <t>2018-01-17</t>
  </si>
  <si>
    <t>2017-10-27</t>
  </si>
  <si>
    <t>2017-11-22</t>
  </si>
  <si>
    <t>2017-11-08</t>
  </si>
  <si>
    <t>2017-12-04</t>
  </si>
  <si>
    <t>2017-09-29</t>
  </si>
  <si>
    <t>2017-10-25</t>
  </si>
  <si>
    <t>ALSFRS_1st</t>
  </si>
  <si>
    <t>Date_1st</t>
  </si>
  <si>
    <t>ALSFRS_2nd</t>
  </si>
  <si>
    <t>Date_2nd</t>
  </si>
  <si>
    <t>ALSFRS_3rd</t>
  </si>
  <si>
    <t>Date_3rd</t>
  </si>
  <si>
    <t>ALSFRS_4th</t>
  </si>
  <si>
    <t>Date_4th</t>
  </si>
  <si>
    <t>ALSFRS_5th</t>
  </si>
  <si>
    <t>Date_5th</t>
  </si>
  <si>
    <t>ALSFRS_6th</t>
  </si>
  <si>
    <t>Date_6th</t>
  </si>
  <si>
    <t>tx4st_3rd</t>
    <phoneticPr fontId="8" type="noConversion"/>
  </si>
  <si>
    <t>Tx. (4th)</t>
  </si>
  <si>
    <t>Tx. (3rd)</t>
  </si>
  <si>
    <t>tx2nd1st</t>
    <phoneticPr fontId="8" type="noConversion"/>
  </si>
  <si>
    <t>Tx. (2nd)</t>
  </si>
  <si>
    <t>Tx. (1st)</t>
  </si>
  <si>
    <t>tx4st_3rd</t>
  </si>
  <si>
    <t>치료번호</t>
  </si>
  <si>
    <t>등록번호</t>
  </si>
  <si>
    <t>이름</t>
  </si>
  <si>
    <t>인종</t>
  </si>
  <si>
    <t>MGH</t>
  </si>
  <si>
    <t>분석</t>
  </si>
  <si>
    <t>비고</t>
  </si>
  <si>
    <t>Ini_Date</t>
  </si>
  <si>
    <t>ini_ALSFRS</t>
  </si>
  <si>
    <t>intetval_ini_1st</t>
  </si>
  <si>
    <t>onset</t>
  </si>
  <si>
    <t>투여횟수</t>
  </si>
  <si>
    <t>Tx. (5th)</t>
  </si>
  <si>
    <t>Tx. (6th)</t>
  </si>
  <si>
    <t>Tx. (7th)</t>
  </si>
  <si>
    <t>Tx. (8th)</t>
  </si>
  <si>
    <t>Tx. (9th)</t>
  </si>
  <si>
    <t>Tx. (10th)</t>
  </si>
  <si>
    <t>Date_cytokine_Base</t>
  </si>
  <si>
    <t>Date_cytokine_1st</t>
  </si>
  <si>
    <t>Date_cytokine_2nd</t>
  </si>
  <si>
    <t>Date_cytokine_3rd</t>
  </si>
  <si>
    <t>Date_cytokine_4th</t>
  </si>
  <si>
    <t>Date_cytokine_5th</t>
  </si>
  <si>
    <t>Date_cytokine_6th</t>
  </si>
  <si>
    <t>Date_cytokine_7th</t>
  </si>
  <si>
    <t>Date_cytokine_8th</t>
  </si>
  <si>
    <t>Interval_cytokine01</t>
  </si>
  <si>
    <t>Interval_12</t>
  </si>
  <si>
    <t>Interval_23</t>
  </si>
  <si>
    <t>Interval_34</t>
  </si>
  <si>
    <t>Interval_cytokine04</t>
  </si>
  <si>
    <t>Interval_cytokine05</t>
  </si>
  <si>
    <t>Interval_cytokine06</t>
  </si>
  <si>
    <t>Interval_cytokine07</t>
  </si>
  <si>
    <t>Interval_cytokine08</t>
  </si>
  <si>
    <t>TGF_Base</t>
  </si>
  <si>
    <t>TGF_1st</t>
  </si>
  <si>
    <t>TGF_2nd</t>
  </si>
  <si>
    <t>TGF_3rd</t>
  </si>
  <si>
    <t>TGF_4th</t>
  </si>
  <si>
    <t>TGF_5th</t>
  </si>
  <si>
    <t>TGF_6th</t>
  </si>
  <si>
    <t>TGF_7th</t>
  </si>
  <si>
    <t>TGF_8th</t>
  </si>
  <si>
    <t>IL-10_Base</t>
  </si>
  <si>
    <t>IL-10_1st</t>
  </si>
  <si>
    <t>IL-10_2nd</t>
  </si>
  <si>
    <t>IL-10_3rd</t>
  </si>
  <si>
    <t>IL-10_4th</t>
  </si>
  <si>
    <t>IL-10_5th</t>
  </si>
  <si>
    <t>IL-10_6th</t>
  </si>
  <si>
    <t>IL-10_7th</t>
  </si>
  <si>
    <t>IL-10_8th</t>
  </si>
  <si>
    <t>IL-8_Base</t>
  </si>
  <si>
    <t>IL-8_1st</t>
  </si>
  <si>
    <t>IL-8_2nd</t>
  </si>
  <si>
    <t>IL-8_3rd</t>
  </si>
  <si>
    <t>IL-8_4th</t>
  </si>
  <si>
    <t>IL-8_5th</t>
  </si>
  <si>
    <t>IL-8_6th</t>
  </si>
  <si>
    <t>IL-8_7th</t>
  </si>
  <si>
    <t>IL-8_8th</t>
  </si>
  <si>
    <t>MCP-1_Base</t>
  </si>
  <si>
    <t>MCP-1_1st</t>
  </si>
  <si>
    <t>MCP-1_2nd</t>
  </si>
  <si>
    <t>MCP-1_3rd</t>
  </si>
  <si>
    <t>MCP-1_4th</t>
  </si>
  <si>
    <t>MCP-1_5th</t>
  </si>
  <si>
    <t>MCP-1_6th</t>
  </si>
  <si>
    <t>MCP-1_7th</t>
  </si>
  <si>
    <t>MCP-1_8th</t>
  </si>
  <si>
    <t>ALSFRS_initial</t>
    <phoneticPr fontId="8" type="noConversion"/>
  </si>
  <si>
    <t>Date_initial</t>
  </si>
  <si>
    <t>Interval_cytokine_FRS_initial</t>
    <phoneticPr fontId="8" type="noConversion"/>
  </si>
  <si>
    <t>ALSFRS_Base</t>
    <phoneticPr fontId="8" type="noConversion"/>
  </si>
  <si>
    <t>Tx._Base</t>
    <phoneticPr fontId="8" type="noConversion"/>
  </si>
  <si>
    <t>Interval_Base_1stF/U</t>
    <phoneticPr fontId="8" type="noConversion"/>
  </si>
  <si>
    <t>Interval_Base_2ndF/U</t>
    <phoneticPr fontId="8" type="noConversion"/>
  </si>
  <si>
    <t>Interval_cytokine_FRS_1</t>
    <phoneticPr fontId="8" type="noConversion"/>
  </si>
  <si>
    <t>Interval_cytokine_FRS_2</t>
    <phoneticPr fontId="8" type="noConversion"/>
  </si>
  <si>
    <t>Interval_cytokine_FRS_3</t>
    <phoneticPr fontId="8" type="noConversion"/>
  </si>
  <si>
    <t>Interval_cytokine_FRS_4</t>
    <phoneticPr fontId="8" type="noConversion"/>
  </si>
  <si>
    <t>Interval_cytokine_FRS_5</t>
    <phoneticPr fontId="8" type="noConversion"/>
  </si>
  <si>
    <t>Interval_cytokine_FRS_6</t>
    <phoneticPr fontId="8" type="noConversion"/>
  </si>
  <si>
    <t>Initial_deltaFS</t>
    <phoneticPr fontId="8" type="noConversion"/>
  </si>
  <si>
    <t>Onset1st_delta</t>
    <phoneticPr fontId="8" type="noConversion"/>
  </si>
  <si>
    <t>Ini1st_deltaFS</t>
    <phoneticPr fontId="8" type="noConversion"/>
  </si>
  <si>
    <t>Post1yr_deltaFS</t>
    <phoneticPr fontId="8" type="noConversion"/>
  </si>
  <si>
    <t>Post_deltaFS</t>
    <phoneticPr fontId="8" type="noConversion"/>
  </si>
  <si>
    <t>Post_interval</t>
    <phoneticPr fontId="8" type="noConversion"/>
  </si>
  <si>
    <t>Last_deltaFS</t>
    <phoneticPr fontId="8" type="noConversion"/>
  </si>
  <si>
    <t>Last_FRS_interval</t>
    <phoneticPr fontId="8" type="noConversion"/>
  </si>
  <si>
    <t>dif_1stdeltaFS</t>
    <phoneticPr fontId="8" type="noConversion"/>
  </si>
  <si>
    <t>dif_post1yr</t>
    <phoneticPr fontId="8" type="noConversion"/>
  </si>
  <si>
    <t>dif_lastdeltaFS</t>
    <phoneticPr fontId="8" type="noConversion"/>
  </si>
  <si>
    <t>Death</t>
  </si>
  <si>
    <t>Death_date</t>
  </si>
  <si>
    <t>Tracheo</t>
  </si>
  <si>
    <t>Tracheo_date</t>
  </si>
  <si>
    <t>onset_to_initialFRS</t>
    <phoneticPr fontId="8" type="noConversion"/>
  </si>
  <si>
    <t>onset_to_1st_inj</t>
  </si>
  <si>
    <t>Initial_to_2nd</t>
    <phoneticPr fontId="8" type="noConversion"/>
  </si>
  <si>
    <t>dif_T1_T2</t>
  </si>
  <si>
    <t>dif_T2_T3</t>
  </si>
  <si>
    <t>dif_T1_T3</t>
  </si>
  <si>
    <t>dif_T3_T4</t>
  </si>
  <si>
    <t>dif_T1_T4</t>
  </si>
  <si>
    <t>dif_T4_T5</t>
  </si>
  <si>
    <t>dif_T1_T5</t>
  </si>
  <si>
    <t>dif_T5_T6</t>
  </si>
  <si>
    <t>dif_T1_T6</t>
  </si>
  <si>
    <t>dif_T6_T7</t>
  </si>
  <si>
    <t>dif_T1_T7</t>
  </si>
  <si>
    <t>dif_T7_T8</t>
  </si>
  <si>
    <t>dif_T1_T8</t>
  </si>
  <si>
    <t>dif_T8_T9</t>
  </si>
  <si>
    <t>dif_T1_T9</t>
  </si>
  <si>
    <t>N/A</t>
  </si>
  <si>
    <t>Ghassan AlKhaled</t>
  </si>
  <si>
    <t>F</t>
  </si>
  <si>
    <t>2차</t>
  </si>
  <si>
    <t>Erika Fischman</t>
  </si>
  <si>
    <t>Avinoam Buchris</t>
  </si>
  <si>
    <t>김진환</t>
  </si>
  <si>
    <t>K</t>
  </si>
  <si>
    <t>1차</t>
  </si>
  <si>
    <t>류재향</t>
  </si>
  <si>
    <t>김주성</t>
  </si>
  <si>
    <t>한화연</t>
  </si>
  <si>
    <t>Andrew Niblock</t>
  </si>
  <si>
    <t>신임순</t>
  </si>
  <si>
    <t>Jose Sacal</t>
  </si>
  <si>
    <t>Daniel Joyce</t>
  </si>
  <si>
    <t>Robert Sinnott</t>
  </si>
  <si>
    <t>Dr.Appel</t>
  </si>
  <si>
    <t>Sean Healey</t>
  </si>
  <si>
    <t>Kenneth Mitchell</t>
  </si>
  <si>
    <t>정현미</t>
  </si>
  <si>
    <t>Iwasaki Kenji</t>
  </si>
  <si>
    <t>Deane Gorsline</t>
  </si>
  <si>
    <t>Romolo Pallini</t>
  </si>
  <si>
    <t>Dr. Babu</t>
  </si>
  <si>
    <t>Brian Wallach</t>
  </si>
  <si>
    <t>Sandra Sy</t>
  </si>
  <si>
    <t>Sandra Morris</t>
  </si>
  <si>
    <t>I AM ALS</t>
  </si>
  <si>
    <t>김옥선</t>
  </si>
  <si>
    <t>신영호</t>
  </si>
  <si>
    <t>박죠지</t>
  </si>
  <si>
    <t>남명순</t>
  </si>
  <si>
    <t>심섭</t>
  </si>
  <si>
    <t>최정임</t>
  </si>
  <si>
    <t>Der.Mohammed</t>
  </si>
  <si>
    <t>임종순</t>
  </si>
  <si>
    <t>김계순</t>
  </si>
  <si>
    <t>조정명</t>
  </si>
  <si>
    <t>고영준</t>
  </si>
  <si>
    <t>염귀순</t>
  </si>
  <si>
    <t>이남주</t>
  </si>
  <si>
    <t>오정의</t>
  </si>
  <si>
    <t>이종율</t>
  </si>
  <si>
    <t>양순례</t>
  </si>
  <si>
    <t>임정희</t>
  </si>
  <si>
    <t>김보경</t>
  </si>
  <si>
    <t>Teddy Hanono</t>
  </si>
  <si>
    <t>이홍기</t>
  </si>
  <si>
    <t>박계단</t>
  </si>
  <si>
    <t>이성오</t>
  </si>
  <si>
    <t>노석환</t>
  </si>
  <si>
    <t>염호열</t>
  </si>
  <si>
    <t>김승조</t>
  </si>
  <si>
    <t>허광명</t>
  </si>
  <si>
    <t>신명선</t>
  </si>
  <si>
    <t>박병태</t>
  </si>
  <si>
    <t>최광석</t>
  </si>
  <si>
    <t>Habib Siachi</t>
  </si>
  <si>
    <t>Nancy Norgaard</t>
  </si>
  <si>
    <t>Faisal Ijaz Khan</t>
  </si>
  <si>
    <t>Gary Lane Nutt</t>
  </si>
  <si>
    <t>Dr. Appel</t>
  </si>
  <si>
    <t>Ala. Abdulla</t>
  </si>
  <si>
    <t>강석종</t>
  </si>
  <si>
    <t>Eugenia Castellote</t>
  </si>
  <si>
    <t>Robert Beyers</t>
  </si>
  <si>
    <t>Shizeng Liang</t>
  </si>
  <si>
    <t>이재용</t>
  </si>
  <si>
    <t>Abe Shuster</t>
  </si>
  <si>
    <t>Jacqueline Zbur</t>
  </si>
  <si>
    <t>서원</t>
  </si>
  <si>
    <t>정재점</t>
  </si>
  <si>
    <t>김옥진</t>
  </si>
  <si>
    <t>김선태</t>
  </si>
  <si>
    <t>Huda Albassam</t>
  </si>
  <si>
    <t>David Neufeglise</t>
  </si>
  <si>
    <t>Dr. Nicholson</t>
  </si>
  <si>
    <t>Karl Maier</t>
  </si>
  <si>
    <t>Lim Chhiv Ho</t>
  </si>
  <si>
    <t>Ngyuen Hieu</t>
  </si>
  <si>
    <t>장동훈</t>
  </si>
  <si>
    <t>Tjhin Fan Moei</t>
  </si>
  <si>
    <t>Robert Ross</t>
  </si>
  <si>
    <t>Timothy Paquette</t>
  </si>
  <si>
    <t>Yi Lian</t>
  </si>
  <si>
    <t>Matthew Beuke</t>
  </si>
  <si>
    <t>2018-05-04</t>
  </si>
  <si>
    <t>Stacy Title</t>
  </si>
  <si>
    <t>Michal Levi</t>
  </si>
  <si>
    <t>Jane Coyle</t>
  </si>
  <si>
    <t>Sarr</t>
  </si>
  <si>
    <t>Snatak</t>
  </si>
  <si>
    <t>Timothy Green</t>
  </si>
  <si>
    <t>Margot Vaughan</t>
  </si>
  <si>
    <t>Libzo Narina</t>
  </si>
  <si>
    <t>Rechard</t>
  </si>
  <si>
    <t>2016-08-26</t>
  </si>
  <si>
    <t>2016-09-21</t>
  </si>
  <si>
    <t>L. Samarasinghe</t>
  </si>
  <si>
    <t>Winoto Jamin</t>
  </si>
  <si>
    <t>nc</t>
  </si>
  <si>
    <t>Nancy Clark</t>
  </si>
  <si>
    <t>Nancy Roch</t>
  </si>
  <si>
    <t>김민승</t>
  </si>
  <si>
    <t>임기엽</t>
  </si>
  <si>
    <t>2015-07-30</t>
  </si>
  <si>
    <t>2015-09-21</t>
  </si>
  <si>
    <t>Chris Smith</t>
  </si>
  <si>
    <t>Joan Alfiero</t>
  </si>
  <si>
    <t>이주화</t>
  </si>
  <si>
    <t>William Fatt</t>
  </si>
  <si>
    <t>장영자</t>
  </si>
  <si>
    <t>2015-03-25</t>
  </si>
  <si>
    <t>Tx_1st</t>
  </si>
  <si>
    <t>Tx_2nd</t>
  </si>
  <si>
    <t>Tx_3rd</t>
  </si>
  <si>
    <t>Tx_4th</t>
  </si>
  <si>
    <t>Tx_5th</t>
  </si>
  <si>
    <t>Tx_6th</t>
  </si>
  <si>
    <t>Tx_7th</t>
  </si>
  <si>
    <t>Tx_8th</t>
  </si>
  <si>
    <t>Tx_9th</t>
  </si>
  <si>
    <t>Tx_10th</t>
  </si>
  <si>
    <t>ID</t>
    <phoneticPr fontId="2" type="noConversion"/>
  </si>
  <si>
    <t>Tx_4th_true_lower</t>
    <phoneticPr fontId="2" type="noConversion"/>
  </si>
  <si>
    <t>Tx_4th_true_upper</t>
    <phoneticPr fontId="2" type="noConversion"/>
  </si>
  <si>
    <t>TX_3rd_4th_interval</t>
  </si>
  <si>
    <t>Tx_4th_True</t>
  </si>
  <si>
    <t>NA</t>
  </si>
  <si>
    <t>ID</t>
    <phoneticPr fontId="2" type="noConversion"/>
  </si>
  <si>
    <t>Tx_4th_true_lower</t>
    <phoneticPr fontId="2" type="noConversion"/>
  </si>
  <si>
    <t>Tx_4th_true_upper</t>
    <phoneticPr fontId="2" type="noConversion"/>
  </si>
  <si>
    <t>ID</t>
    <phoneticPr fontId="2" type="noConversion"/>
  </si>
  <si>
    <t>Tx_1st_1m</t>
    <phoneticPr fontId="2" type="noConversion"/>
  </si>
  <si>
    <t>Tx_1st_2m</t>
    <phoneticPr fontId="19" type="noConversion"/>
  </si>
  <si>
    <t>Tx_1st_3m</t>
    <phoneticPr fontId="19" type="noConversion"/>
  </si>
  <si>
    <t>Tx_3rd_1m</t>
    <phoneticPr fontId="2" type="noConversion"/>
  </si>
  <si>
    <t>Tx_3rd_2m</t>
  </si>
  <si>
    <t>Tx_3rd_3m</t>
  </si>
  <si>
    <t>gap23</t>
    <phoneticPr fontId="19" type="noConversion"/>
  </si>
  <si>
    <t>MND-2287</t>
  </si>
  <si>
    <t>MND-2484</t>
  </si>
  <si>
    <t>TGFB_Base</t>
    <phoneticPr fontId="2" type="noConversion"/>
  </si>
  <si>
    <t>TGFB_1st</t>
    <phoneticPr fontId="2" type="noConversion"/>
  </si>
  <si>
    <t>TGFB_2nd</t>
    <phoneticPr fontId="2" type="noConversion"/>
  </si>
  <si>
    <t>IL10_Base</t>
    <phoneticPr fontId="2" type="noConversion"/>
  </si>
  <si>
    <t>IL10_1st</t>
    <phoneticPr fontId="2" type="noConversion"/>
  </si>
  <si>
    <t>IL10_2nd</t>
    <phoneticPr fontId="2" type="noConversion"/>
  </si>
  <si>
    <t>IL8_1st</t>
    <phoneticPr fontId="2" type="noConversion"/>
  </si>
  <si>
    <t>IL8_Base</t>
    <phoneticPr fontId="2" type="noConversion"/>
  </si>
  <si>
    <t>IL8_2nd</t>
    <phoneticPr fontId="2" type="noConversion"/>
  </si>
  <si>
    <t>MCP1_Base</t>
    <phoneticPr fontId="2" type="noConversion"/>
  </si>
  <si>
    <t>MCP1_1st</t>
    <phoneticPr fontId="2" type="noConversion"/>
  </si>
  <si>
    <t>MCP1_2nd</t>
    <phoneticPr fontId="2" type="noConversion"/>
  </si>
  <si>
    <t>Sex</t>
  </si>
  <si>
    <t>Age_onset</t>
  </si>
  <si>
    <t>Age at baseline</t>
  </si>
  <si>
    <t>Disease duration at baseline</t>
  </si>
  <si>
    <t>Bulbar</t>
  </si>
  <si>
    <t>ALSFRS_Base</t>
    <phoneticPr fontId="8" type="noConversion"/>
  </si>
  <si>
    <t>initial_deltaFS(visit)</t>
    <phoneticPr fontId="8" type="noConversion"/>
  </si>
  <si>
    <t>Riluzole</t>
  </si>
  <si>
    <t>Baseline_progression_speed</t>
    <phoneticPr fontId="8" type="noConversion"/>
  </si>
  <si>
    <t>ALSFRS_initial</t>
  </si>
  <si>
    <t>init_1st</t>
    <phoneticPr fontId="2" type="noConversion"/>
  </si>
  <si>
    <t>1st_3rd</t>
    <phoneticPr fontId="2" type="noConversion"/>
  </si>
  <si>
    <t>1st_2nd</t>
    <phoneticPr fontId="2" type="noConversion"/>
  </si>
  <si>
    <t>1st_4th</t>
    <phoneticPr fontId="2" type="noConversion"/>
  </si>
  <si>
    <t>1st_5th</t>
  </si>
  <si>
    <t>1st_6th</t>
  </si>
  <si>
    <t>MND</t>
    <phoneticPr fontId="8" type="noConversion"/>
  </si>
  <si>
    <t>PMS</t>
    <phoneticPr fontId="2" type="noConversion"/>
  </si>
  <si>
    <t>001-022</t>
    <phoneticPr fontId="2" type="noConversion"/>
  </si>
  <si>
    <t>001-021</t>
    <phoneticPr fontId="2" type="noConversion"/>
  </si>
  <si>
    <t>001-009</t>
    <phoneticPr fontId="2" type="noConversion"/>
  </si>
  <si>
    <t>001-211</t>
    <phoneticPr fontId="2" type="noConversion"/>
  </si>
  <si>
    <t>ALSFRS_12M</t>
    <phoneticPr fontId="2" type="noConversion"/>
  </si>
  <si>
    <t>init_1st_slope</t>
    <phoneticPr fontId="2" type="noConversion"/>
  </si>
  <si>
    <t>ALSFRSR_12M_slope</t>
    <phoneticPr fontId="2" type="noConversion"/>
  </si>
  <si>
    <t>Change_of_ALSFRS_slope</t>
    <phoneticPr fontId="2" type="noConversion"/>
  </si>
  <si>
    <t>SUBJ_ID</t>
  </si>
  <si>
    <t>GROUP 
(0=placebo,1=trt)</t>
    <phoneticPr fontId="27" type="noConversion"/>
  </si>
  <si>
    <t>V1(-3M)</t>
    <phoneticPr fontId="8" type="noConversion"/>
  </si>
  <si>
    <t>V5(0M)</t>
    <phoneticPr fontId="8" type="noConversion"/>
  </si>
  <si>
    <t>12M</t>
  </si>
  <si>
    <t>Group</t>
    <phoneticPr fontId="2" type="noConversion"/>
  </si>
  <si>
    <t>N1</t>
    <phoneticPr fontId="2" type="noConversion"/>
  </si>
  <si>
    <t>M0</t>
    <phoneticPr fontId="2" type="noConversion"/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</si>
  <si>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</si>
  <si>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</si>
  <si>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</si>
  <si>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</si>
  <si>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</si>
  <si>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</si>
  <si>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</si>
  <si>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</si>
  <si>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</si>
  <si>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</si>
  <si>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</si>
  <si>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</si>
  <si>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</si>
  <si>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</si>
  <si>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</si>
  <si>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</si>
  <si>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</si>
  <si>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</si>
  <si>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</si>
  <si>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</si>
  <si>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</si>
  <si>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</si>
  <si>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</si>
  <si>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</si>
  <si>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</si>
  <si>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</si>
  <si>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</si>
  <si>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</si>
  <si>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</si>
  <si>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</si>
  <si>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</si>
  <si>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</si>
  <si>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</si>
  <si>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</si>
  <si>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</si>
  <si>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</si>
  <si>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</si>
  <si>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</si>
  <si>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</si>
  <si>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001-001</t>
  </si>
  <si>
    <t>PMS_HY</t>
    <phoneticPr fontId="2" type="noConversion"/>
  </si>
  <si>
    <t>001-002</t>
  </si>
  <si>
    <t>PMS_HY</t>
    <phoneticPr fontId="2" type="noConversion"/>
  </si>
  <si>
    <t>001-003</t>
  </si>
  <si>
    <t>PMS_HY</t>
    <phoneticPr fontId="2" type="noConversion"/>
  </si>
  <si>
    <t>001-004</t>
  </si>
  <si>
    <t>001-006</t>
  </si>
  <si>
    <t>001-007</t>
  </si>
  <si>
    <t>001-008</t>
  </si>
  <si>
    <t>001-010</t>
  </si>
  <si>
    <t>001-011</t>
  </si>
  <si>
    <t>001-012</t>
  </si>
  <si>
    <t>001-015</t>
  </si>
  <si>
    <t>001-016</t>
  </si>
  <si>
    <t>001-017</t>
  </si>
  <si>
    <t>001-018</t>
  </si>
  <si>
    <t>001-020</t>
  </si>
  <si>
    <t>001-023</t>
  </si>
  <si>
    <t>001-024</t>
  </si>
  <si>
    <t>001-025</t>
  </si>
  <si>
    <t>001-026</t>
  </si>
  <si>
    <t>001-027</t>
  </si>
  <si>
    <t>001-028</t>
  </si>
  <si>
    <t>001-030</t>
  </si>
  <si>
    <t>001-031</t>
  </si>
  <si>
    <t>001-032</t>
  </si>
  <si>
    <t>001-033</t>
  </si>
  <si>
    <t>001-034</t>
  </si>
  <si>
    <t>001-035</t>
  </si>
  <si>
    <t>001-036</t>
  </si>
  <si>
    <t>001-039</t>
  </si>
  <si>
    <t>001-040</t>
  </si>
  <si>
    <t>001-041</t>
  </si>
  <si>
    <t>001-042</t>
  </si>
  <si>
    <t>PMS_HY</t>
    <phoneticPr fontId="2" type="noConversion"/>
  </si>
  <si>
    <t>001-044</t>
  </si>
  <si>
    <t>001-046</t>
  </si>
  <si>
    <t>001-048</t>
  </si>
  <si>
    <t>001-049</t>
  </si>
  <si>
    <t>001-050</t>
  </si>
  <si>
    <t>001-051</t>
  </si>
  <si>
    <t>001-052</t>
  </si>
  <si>
    <t>001-053</t>
  </si>
  <si>
    <t>001-054</t>
  </si>
  <si>
    <t>001-056</t>
  </si>
  <si>
    <t>001-058</t>
  </si>
  <si>
    <t>001-059</t>
  </si>
  <si>
    <t>001-060</t>
  </si>
  <si>
    <t>001-061</t>
  </si>
  <si>
    <t>001-063</t>
  </si>
  <si>
    <t>001-065</t>
  </si>
  <si>
    <t>001-067</t>
  </si>
  <si>
    <t>001-070</t>
  </si>
  <si>
    <t>001-072</t>
  </si>
  <si>
    <t>001-073</t>
  </si>
  <si>
    <t>001-074</t>
  </si>
  <si>
    <t>001-075</t>
  </si>
  <si>
    <t>001-077</t>
  </si>
  <si>
    <t>001-078</t>
  </si>
  <si>
    <t>001-079</t>
  </si>
  <si>
    <t>001-081</t>
  </si>
  <si>
    <t>001-083</t>
  </si>
  <si>
    <t>001-084</t>
  </si>
  <si>
    <t>001-085</t>
  </si>
  <si>
    <t>001-086</t>
  </si>
  <si>
    <t>001-090</t>
  </si>
  <si>
    <t>001-091</t>
  </si>
  <si>
    <t>001-092</t>
  </si>
  <si>
    <t>001-093</t>
  </si>
  <si>
    <t>001-095</t>
  </si>
  <si>
    <t>001-096</t>
  </si>
  <si>
    <t>001-097</t>
  </si>
  <si>
    <t>001-098</t>
  </si>
  <si>
    <t>001-101</t>
  </si>
  <si>
    <t>001-103</t>
  </si>
  <si>
    <t>001-105</t>
  </si>
  <si>
    <t>001-106</t>
  </si>
  <si>
    <t>001-107</t>
  </si>
  <si>
    <t>001-108</t>
  </si>
  <si>
    <t>001-109</t>
  </si>
  <si>
    <t>001-110</t>
  </si>
  <si>
    <t>001-111</t>
  </si>
  <si>
    <t>001-116</t>
  </si>
  <si>
    <t>001-117</t>
  </si>
  <si>
    <t>001-118</t>
  </si>
  <si>
    <t>001-122</t>
  </si>
  <si>
    <t>001-123</t>
  </si>
  <si>
    <t>001-126</t>
  </si>
  <si>
    <t>001-127</t>
  </si>
  <si>
    <t>001-128</t>
  </si>
  <si>
    <t>001-129</t>
  </si>
  <si>
    <t>001-130</t>
  </si>
  <si>
    <t>001-131</t>
  </si>
  <si>
    <t>001-132</t>
  </si>
  <si>
    <t>001-133</t>
  </si>
  <si>
    <t>001-134</t>
  </si>
  <si>
    <t>001-136</t>
  </si>
  <si>
    <t>001-138</t>
  </si>
  <si>
    <t>001-141</t>
  </si>
  <si>
    <t>001-145</t>
  </si>
  <si>
    <t>001-147</t>
  </si>
  <si>
    <t>001-148</t>
  </si>
  <si>
    <t>001-149</t>
  </si>
  <si>
    <t>001-151</t>
  </si>
  <si>
    <t>001-152</t>
  </si>
  <si>
    <t>001-154</t>
  </si>
  <si>
    <t>001-157</t>
  </si>
  <si>
    <t>001-158</t>
  </si>
  <si>
    <t>001-160</t>
  </si>
  <si>
    <t>001-161</t>
  </si>
  <si>
    <t>001-162</t>
  </si>
  <si>
    <t>001-163</t>
  </si>
  <si>
    <t>001-164</t>
  </si>
  <si>
    <t>001-165</t>
  </si>
  <si>
    <t>001-166</t>
  </si>
  <si>
    <t>001-167</t>
  </si>
  <si>
    <t>001-168</t>
  </si>
  <si>
    <t>001-169</t>
  </si>
  <si>
    <t>001-170</t>
  </si>
  <si>
    <t>001-173</t>
  </si>
  <si>
    <t>001-174</t>
  </si>
  <si>
    <t>001-178</t>
  </si>
  <si>
    <t>001-179</t>
  </si>
  <si>
    <t>001-182</t>
  </si>
  <si>
    <t>001-184</t>
  </si>
  <si>
    <t>001-186</t>
  </si>
  <si>
    <t>001-189</t>
  </si>
  <si>
    <t>001-190</t>
  </si>
  <si>
    <t>001-191</t>
  </si>
  <si>
    <t>001-192</t>
  </si>
  <si>
    <t>001-194</t>
  </si>
  <si>
    <t>001-195</t>
  </si>
  <si>
    <t>Interval_cytokine_FRS_initial</t>
  </si>
  <si>
    <t>Interval_cytokine_FRS_1</t>
  </si>
  <si>
    <t>Interval_cytokine_FRS_2</t>
  </si>
  <si>
    <t>Interval_cytokine_FRS_3</t>
  </si>
  <si>
    <t>Interval_cytokine_FRS_4</t>
  </si>
  <si>
    <t>Interval_cytokine_FRS_5</t>
  </si>
  <si>
    <t>Interval_cytokine_FRS_6</t>
  </si>
  <si>
    <t>SUBJ_ID</t>
    <phoneticPr fontId="2" type="noConversion"/>
  </si>
  <si>
    <t>INJ</t>
    <phoneticPr fontId="2" type="noConversion"/>
  </si>
  <si>
    <t>SUBJ_ID</t>
    <phoneticPr fontId="2" type="noConversion"/>
  </si>
  <si>
    <t>INJ</t>
    <phoneticPr fontId="2" type="noConversion"/>
  </si>
  <si>
    <t>Tx_1st</t>
    <phoneticPr fontId="2" type="noConversion"/>
  </si>
  <si>
    <t>Tx_2nd</t>
    <phoneticPr fontId="2" type="noConversion"/>
  </si>
  <si>
    <t>Tx_3rd</t>
    <phoneticPr fontId="2" type="noConversion"/>
  </si>
  <si>
    <t>Tx_4th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</si>
</sst>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0000000#"/>
    <numFmt numFmtId="177" formatCode="yyyy\-mm\-dd"/>
    <numFmt numFmtId="178" formatCode="0_);[Red]\(0\)"/>
    <numFmt numFmtId="179" formatCode="0.00_);[Red]\(0.00\)"/>
    <numFmt numFmtId="180" formatCode="0.00_ "/>
    <numFmt numFmtId="181" formatCode="0.0"/>
    <numFmt numFmtId="182" formatCode="00#"/>
    <numFmt numFmtId="183" formatCode="0_ "/>
    <numFmt numFmtId="184" formatCode="0.0_ "/>
  </numFmts>
  <fonts count="29">
    <font>
      <sz val="11"/>
      <color theme="1"/>
      <name val="맑은 고딕"/>
      <family val="2"/>
      <charset val="129"/>
      <scheme val="minor"/>
    </font>
    <font>
      <b/>
      <sz val="10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Arial"/>
      <family val="2"/>
    </font>
    <font>
      <sz val="8"/>
      <name val="돋움"/>
      <family val="3"/>
      <charset val="129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Inconsolata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9C0006"/>
      <name val="Arial"/>
      <family val="2"/>
    </font>
    <font>
      <sz val="8"/>
      <name val="맑은 고딕"/>
      <family val="3"/>
      <charset val="129"/>
      <scheme val="minor"/>
    </font>
    <font>
      <sz val="10"/>
      <name val="Malgun Gothic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8"/>
      <name val="굴림체"/>
      <family val="3"/>
      <charset val="129"/>
    </font>
    <font>
      <sz val="10"/>
      <color indexed="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9BC2E6"/>
        <bgColor rgb="FF9BC2E6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theme="6"/>
      </patternFill>
    </fill>
    <fill>
      <patternFill patternType="solid">
        <fgColor theme="5"/>
        <bgColor theme="5"/>
      </patternFill>
    </fill>
    <fill>
      <patternFill patternType="solid">
        <fgColor rgb="FF00B0F0"/>
        <bgColor rgb="FF00B0F0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theme="6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F75B5"/>
        <bgColor rgb="FF2F75B5"/>
      </patternFill>
    </fill>
    <fill>
      <patternFill patternType="solid">
        <fgColor rgb="FF00B0F0"/>
        <bgColor indexed="64"/>
      </patternFill>
    </fill>
    <fill>
      <patternFill patternType="solid">
        <fgColor rgb="FF8DB5F8"/>
        <bgColor rgb="FF8DB5F8"/>
      </patternFill>
    </fill>
    <fill>
      <patternFill patternType="solid">
        <fgColor theme="4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theme="9"/>
        <bgColor theme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9BC2E6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2" fillId="0" borderId="0"/>
    <xf numFmtId="0" fontId="26" fillId="0" borderId="0">
      <alignment vertical="center"/>
    </xf>
  </cellStyleXfs>
  <cellXfs count="24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76" fontId="1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77" fontId="5" fillId="0" borderId="2" xfId="0" applyNumberFormat="1" applyFont="1" applyBorder="1" applyAlignment="1">
      <alignment horizontal="center"/>
    </xf>
    <xf numFmtId="177" fontId="4" fillId="0" borderId="2" xfId="0" applyNumberFormat="1" applyFont="1" applyBorder="1" applyAlignment="1">
      <alignment horizontal="center"/>
    </xf>
    <xf numFmtId="177" fontId="4" fillId="0" borderId="3" xfId="0" applyNumberFormat="1" applyFont="1" applyBorder="1" applyAlignment="1">
      <alignment horizontal="center"/>
    </xf>
    <xf numFmtId="178" fontId="4" fillId="0" borderId="2" xfId="0" applyNumberFormat="1" applyFont="1" applyBorder="1" applyAlignment="1">
      <alignment horizontal="center"/>
    </xf>
    <xf numFmtId="178" fontId="4" fillId="0" borderId="3" xfId="0" applyNumberFormat="1" applyFont="1" applyBorder="1" applyAlignment="1">
      <alignment horizontal="center"/>
    </xf>
    <xf numFmtId="177" fontId="1" fillId="3" borderId="1" xfId="0" applyNumberFormat="1" applyFont="1" applyFill="1" applyBorder="1" applyAlignment="1">
      <alignment horizontal="center"/>
    </xf>
    <xf numFmtId="177" fontId="4" fillId="0" borderId="0" xfId="0" applyNumberFormat="1" applyFont="1" applyBorder="1" applyAlignment="1">
      <alignment horizontal="center"/>
    </xf>
    <xf numFmtId="178" fontId="4" fillId="0" borderId="0" xfId="0" applyNumberFormat="1" applyFont="1" applyBorder="1" applyAlignment="1">
      <alignment horizontal="center"/>
    </xf>
    <xf numFmtId="178" fontId="1" fillId="3" borderId="1" xfId="0" applyNumberFormat="1" applyFont="1" applyFill="1" applyBorder="1" applyAlignment="1">
      <alignment horizontal="center"/>
    </xf>
    <xf numFmtId="177" fontId="1" fillId="6" borderId="1" xfId="0" applyNumberFormat="1" applyFont="1" applyFill="1" applyBorder="1" applyAlignment="1">
      <alignment horizontal="center"/>
    </xf>
    <xf numFmtId="178" fontId="1" fillId="6" borderId="1" xfId="0" applyNumberFormat="1" applyFont="1" applyFill="1" applyBorder="1" applyAlignment="1">
      <alignment horizontal="center"/>
    </xf>
    <xf numFmtId="0" fontId="9" fillId="4" borderId="2" xfId="0" applyFont="1" applyFill="1" applyBorder="1" applyAlignment="1">
      <alignment vertical="center"/>
    </xf>
    <xf numFmtId="177" fontId="9" fillId="4" borderId="2" xfId="0" applyNumberFormat="1" applyFont="1" applyFill="1" applyBorder="1" applyAlignment="1">
      <alignment horizontal="left" vertical="center"/>
    </xf>
    <xf numFmtId="178" fontId="9" fillId="0" borderId="2" xfId="0" applyNumberFormat="1" applyFont="1" applyBorder="1" applyAlignment="1">
      <alignment horizontal="left" vertical="center"/>
    </xf>
    <xf numFmtId="0" fontId="9" fillId="6" borderId="2" xfId="0" applyFont="1" applyFill="1" applyBorder="1" applyAlignment="1">
      <alignment vertical="center"/>
    </xf>
    <xf numFmtId="177" fontId="9" fillId="6" borderId="2" xfId="0" applyNumberFormat="1" applyFont="1" applyFill="1" applyBorder="1" applyAlignment="1">
      <alignment vertical="center"/>
    </xf>
    <xf numFmtId="178" fontId="9" fillId="0" borderId="2" xfId="0" applyNumberFormat="1" applyFont="1" applyFill="1" applyBorder="1" applyAlignment="1">
      <alignment vertical="center"/>
    </xf>
    <xf numFmtId="177" fontId="9" fillId="6" borderId="2" xfId="0" applyNumberFormat="1" applyFont="1" applyFill="1" applyBorder="1" applyAlignment="1">
      <alignment horizontal="left" vertical="center"/>
    </xf>
    <xf numFmtId="178" fontId="10" fillId="6" borderId="2" xfId="0" applyNumberFormat="1" applyFont="1" applyFill="1" applyBorder="1" applyAlignment="1">
      <alignment horizontal="left" vertical="center"/>
    </xf>
    <xf numFmtId="178" fontId="10" fillId="0" borderId="2" xfId="0" applyNumberFormat="1" applyFont="1" applyBorder="1" applyAlignment="1">
      <alignment vertical="center"/>
    </xf>
    <xf numFmtId="178" fontId="6" fillId="6" borderId="2" xfId="0" applyNumberFormat="1" applyFont="1" applyFill="1" applyBorder="1" applyAlignment="1">
      <alignment horizontal="center"/>
    </xf>
    <xf numFmtId="177" fontId="6" fillId="6" borderId="2" xfId="0" applyNumberFormat="1" applyFont="1" applyFill="1" applyBorder="1" applyAlignment="1">
      <alignment horizontal="center"/>
    </xf>
    <xf numFmtId="0" fontId="0" fillId="0" borderId="3" xfId="0" applyFont="1" applyBorder="1" applyAlignment="1"/>
    <xf numFmtId="178" fontId="0" fillId="0" borderId="3" xfId="0" applyNumberFormat="1" applyFont="1" applyBorder="1" applyAlignment="1"/>
    <xf numFmtId="178" fontId="10" fillId="0" borderId="3" xfId="0" applyNumberFormat="1" applyFont="1" applyBorder="1" applyAlignment="1">
      <alignment vertical="center"/>
    </xf>
    <xf numFmtId="178" fontId="6" fillId="6" borderId="3" xfId="0" applyNumberFormat="1" applyFont="1" applyFill="1" applyBorder="1" applyAlignment="1">
      <alignment horizontal="center"/>
    </xf>
    <xf numFmtId="177" fontId="6" fillId="6" borderId="3" xfId="0" applyNumberFormat="1" applyFont="1" applyFill="1" applyBorder="1" applyAlignment="1">
      <alignment horizontal="center"/>
    </xf>
    <xf numFmtId="0" fontId="9" fillId="0" borderId="2" xfId="0" applyFont="1" applyBorder="1" applyAlignment="1">
      <alignment vertical="center"/>
    </xf>
    <xf numFmtId="177" fontId="9" fillId="0" borderId="2" xfId="0" applyNumberFormat="1" applyFont="1" applyBorder="1" applyAlignment="1">
      <alignment horizontal="left" vertical="center"/>
    </xf>
    <xf numFmtId="0" fontId="0" fillId="0" borderId="2" xfId="0" applyFont="1" applyBorder="1" applyAlignment="1"/>
    <xf numFmtId="14" fontId="0" fillId="0" borderId="2" xfId="0" applyNumberFormat="1" applyFont="1" applyBorder="1" applyAlignment="1"/>
    <xf numFmtId="178" fontId="0" fillId="0" borderId="2" xfId="0" applyNumberFormat="1" applyFont="1" applyBorder="1" applyAlignment="1"/>
    <xf numFmtId="0" fontId="9" fillId="6" borderId="3" xfId="0" applyFont="1" applyFill="1" applyBorder="1" applyAlignment="1">
      <alignment vertical="center"/>
    </xf>
    <xf numFmtId="177" fontId="9" fillId="6" borderId="3" xfId="0" applyNumberFormat="1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177" fontId="10" fillId="0" borderId="2" xfId="0" applyNumberFormat="1" applyFont="1" applyBorder="1" applyAlignment="1">
      <alignment horizontal="left" vertical="center"/>
    </xf>
    <xf numFmtId="0" fontId="10" fillId="5" borderId="2" xfId="0" applyFont="1" applyFill="1" applyBorder="1" applyAlignment="1">
      <alignment vertical="center"/>
    </xf>
    <xf numFmtId="177" fontId="10" fillId="5" borderId="2" xfId="0" applyNumberFormat="1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177" fontId="10" fillId="0" borderId="0" xfId="0" applyNumberFormat="1" applyFont="1" applyBorder="1" applyAlignment="1">
      <alignment vertical="center"/>
    </xf>
    <xf numFmtId="178" fontId="10" fillId="0" borderId="0" xfId="0" applyNumberFormat="1" applyFont="1" applyBorder="1" applyAlignment="1">
      <alignment vertical="center"/>
    </xf>
    <xf numFmtId="177" fontId="10" fillId="0" borderId="2" xfId="0" applyNumberFormat="1" applyFont="1" applyBorder="1" applyAlignment="1">
      <alignment vertical="center"/>
    </xf>
    <xf numFmtId="0" fontId="10" fillId="5" borderId="0" xfId="0" applyFont="1" applyFill="1" applyBorder="1" applyAlignment="1">
      <alignment vertical="center"/>
    </xf>
    <xf numFmtId="177" fontId="10" fillId="5" borderId="0" xfId="0" applyNumberFormat="1" applyFont="1" applyFill="1" applyBorder="1" applyAlignment="1">
      <alignment horizontal="left" vertical="center"/>
    </xf>
    <xf numFmtId="178" fontId="10" fillId="6" borderId="0" xfId="0" applyNumberFormat="1" applyFont="1" applyFill="1" applyBorder="1" applyAlignment="1">
      <alignment horizontal="left" vertical="center"/>
    </xf>
    <xf numFmtId="0" fontId="10" fillId="6" borderId="2" xfId="0" applyFont="1" applyFill="1" applyBorder="1" applyAlignment="1">
      <alignment vertical="center"/>
    </xf>
    <xf numFmtId="177" fontId="10" fillId="6" borderId="2" xfId="0" applyNumberFormat="1" applyFont="1" applyFill="1" applyBorder="1" applyAlignment="1">
      <alignment horizontal="left" vertical="center"/>
    </xf>
    <xf numFmtId="177" fontId="10" fillId="6" borderId="2" xfId="0" applyNumberFormat="1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178" fontId="4" fillId="6" borderId="3" xfId="0" applyNumberFormat="1" applyFont="1" applyFill="1" applyBorder="1" applyAlignment="1">
      <alignment horizontal="center"/>
    </xf>
    <xf numFmtId="177" fontId="4" fillId="6" borderId="3" xfId="0" applyNumberFormat="1" applyFont="1" applyFill="1" applyBorder="1" applyAlignment="1">
      <alignment horizontal="center"/>
    </xf>
    <xf numFmtId="178" fontId="9" fillId="0" borderId="0" xfId="0" applyNumberFormat="1" applyFont="1" applyFill="1" applyBorder="1" applyAlignment="1">
      <alignment vertical="center"/>
    </xf>
    <xf numFmtId="177" fontId="11" fillId="7" borderId="2" xfId="0" applyNumberFormat="1" applyFont="1" applyFill="1" applyBorder="1" applyAlignment="1"/>
    <xf numFmtId="177" fontId="11" fillId="0" borderId="2" xfId="0" applyNumberFormat="1" applyFont="1" applyBorder="1" applyAlignment="1"/>
    <xf numFmtId="0" fontId="10" fillId="0" borderId="3" xfId="0" applyFont="1" applyBorder="1" applyAlignment="1">
      <alignment vertical="center"/>
    </xf>
    <xf numFmtId="177" fontId="10" fillId="0" borderId="3" xfId="0" applyNumberFormat="1" applyFont="1" applyBorder="1" applyAlignment="1">
      <alignment vertical="center"/>
    </xf>
    <xf numFmtId="0" fontId="0" fillId="0" borderId="0" xfId="0" applyFont="1" applyBorder="1" applyAlignment="1"/>
    <xf numFmtId="178" fontId="0" fillId="0" borderId="0" xfId="0" applyNumberFormat="1" applyFont="1" applyBorder="1" applyAlignment="1"/>
    <xf numFmtId="178" fontId="9" fillId="6" borderId="2" xfId="0" applyNumberFormat="1" applyFont="1" applyFill="1" applyBorder="1" applyAlignment="1">
      <alignment vertical="center"/>
    </xf>
    <xf numFmtId="0" fontId="10" fillId="8" borderId="2" xfId="0" applyFont="1" applyFill="1" applyBorder="1" applyAlignment="1">
      <alignment vertical="center"/>
    </xf>
    <xf numFmtId="177" fontId="10" fillId="8" borderId="2" xfId="0" applyNumberFormat="1" applyFont="1" applyFill="1" applyBorder="1" applyAlignment="1">
      <alignment horizontal="left" vertical="center"/>
    </xf>
    <xf numFmtId="178" fontId="9" fillId="8" borderId="2" xfId="0" applyNumberFormat="1" applyFont="1" applyFill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177" fontId="10" fillId="0" borderId="0" xfId="0" applyNumberFormat="1" applyFont="1" applyBorder="1" applyAlignment="1">
      <alignment horizontal="left" vertical="center"/>
    </xf>
    <xf numFmtId="177" fontId="10" fillId="0" borderId="1" xfId="0" applyNumberFormat="1" applyFont="1" applyBorder="1" applyAlignment="1">
      <alignment horizontal="left" vertical="center"/>
    </xf>
    <xf numFmtId="177" fontId="10" fillId="0" borderId="3" xfId="0" applyNumberFormat="1" applyFont="1" applyBorder="1" applyAlignment="1">
      <alignment horizontal="left" vertical="center"/>
    </xf>
    <xf numFmtId="0" fontId="10" fillId="5" borderId="3" xfId="0" applyFont="1" applyFill="1" applyBorder="1" applyAlignment="1">
      <alignment vertical="center"/>
    </xf>
    <xf numFmtId="177" fontId="10" fillId="5" borderId="1" xfId="0" applyNumberFormat="1" applyFont="1" applyFill="1" applyBorder="1" applyAlignment="1">
      <alignment horizontal="left" vertical="center"/>
    </xf>
    <xf numFmtId="0" fontId="12" fillId="0" borderId="0" xfId="1" applyFont="1" applyAlignment="1"/>
    <xf numFmtId="178" fontId="5" fillId="9" borderId="4" xfId="1" applyNumberFormat="1" applyFont="1" applyFill="1" applyBorder="1" applyAlignment="1">
      <alignment horizontal="center"/>
    </xf>
    <xf numFmtId="178" fontId="4" fillId="9" borderId="2" xfId="1" applyNumberFormat="1" applyFont="1" applyFill="1" applyBorder="1" applyAlignment="1">
      <alignment horizontal="center"/>
    </xf>
    <xf numFmtId="178" fontId="5" fillId="9" borderId="2" xfId="1" applyNumberFormat="1" applyFont="1" applyFill="1" applyBorder="1" applyAlignment="1">
      <alignment horizontal="center"/>
    </xf>
    <xf numFmtId="178" fontId="5" fillId="10" borderId="4" xfId="1" applyNumberFormat="1" applyFont="1" applyFill="1" applyBorder="1" applyAlignment="1">
      <alignment horizontal="center"/>
    </xf>
    <xf numFmtId="178" fontId="5" fillId="10" borderId="2" xfId="1" applyNumberFormat="1" applyFont="1" applyFill="1" applyBorder="1" applyAlignment="1">
      <alignment horizontal="center"/>
    </xf>
    <xf numFmtId="178" fontId="5" fillId="10" borderId="1" xfId="1" applyNumberFormat="1" applyFont="1" applyFill="1" applyBorder="1" applyAlignment="1">
      <alignment horizontal="center"/>
    </xf>
    <xf numFmtId="0" fontId="4" fillId="0" borderId="3" xfId="1" applyFont="1" applyFill="1" applyBorder="1" applyAlignment="1">
      <alignment horizontal="center"/>
    </xf>
    <xf numFmtId="178" fontId="4" fillId="10" borderId="2" xfId="1" applyNumberFormat="1" applyFont="1" applyFill="1" applyBorder="1" applyAlignment="1">
      <alignment horizontal="center"/>
    </xf>
    <xf numFmtId="178" fontId="4" fillId="10" borderId="3" xfId="1" applyNumberFormat="1" applyFont="1" applyFill="1" applyBorder="1" applyAlignment="1">
      <alignment horizontal="center"/>
    </xf>
    <xf numFmtId="178" fontId="5" fillId="11" borderId="4" xfId="1" applyNumberFormat="1" applyFont="1" applyFill="1" applyBorder="1" applyAlignment="1">
      <alignment horizontal="center"/>
    </xf>
    <xf numFmtId="178" fontId="4" fillId="11" borderId="2" xfId="1" applyNumberFormat="1" applyFont="1" applyFill="1" applyBorder="1" applyAlignment="1">
      <alignment horizontal="center"/>
    </xf>
    <xf numFmtId="178" fontId="5" fillId="11" borderId="2" xfId="1" applyNumberFormat="1" applyFont="1" applyFill="1" applyBorder="1" applyAlignment="1">
      <alignment horizontal="center"/>
    </xf>
    <xf numFmtId="178" fontId="4" fillId="9" borderId="4" xfId="1" applyNumberFormat="1" applyFont="1" applyFill="1" applyBorder="1" applyAlignment="1">
      <alignment horizontal="center"/>
    </xf>
    <xf numFmtId="178" fontId="5" fillId="10" borderId="3" xfId="1" applyNumberFormat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7" xfId="1" applyFont="1" applyFill="1" applyBorder="1" applyAlignment="1">
      <alignment horizontal="center"/>
    </xf>
    <xf numFmtId="0" fontId="4" fillId="0" borderId="8" xfId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78" fontId="1" fillId="5" borderId="1" xfId="0" applyNumberFormat="1" applyFont="1" applyFill="1" applyBorder="1" applyAlignment="1">
      <alignment horizontal="center"/>
    </xf>
    <xf numFmtId="179" fontId="1" fillId="3" borderId="1" xfId="0" applyNumberFormat="1" applyFont="1" applyFill="1" applyBorder="1" applyAlignment="1">
      <alignment horizontal="center"/>
    </xf>
    <xf numFmtId="178" fontId="3" fillId="3" borderId="1" xfId="0" applyNumberFormat="1" applyFont="1" applyFill="1" applyBorder="1" applyAlignment="1">
      <alignment horizontal="center"/>
    </xf>
    <xf numFmtId="179" fontId="1" fillId="12" borderId="1" xfId="0" applyNumberFormat="1" applyFont="1" applyFill="1" applyBorder="1" applyAlignment="1">
      <alignment horizontal="center"/>
    </xf>
    <xf numFmtId="178" fontId="1" fillId="12" borderId="1" xfId="0" applyNumberFormat="1" applyFont="1" applyFill="1" applyBorder="1" applyAlignment="1">
      <alignment horizontal="center"/>
    </xf>
    <xf numFmtId="180" fontId="1" fillId="12" borderId="1" xfId="0" applyNumberFormat="1" applyFont="1" applyFill="1" applyBorder="1" applyAlignment="1">
      <alignment horizontal="center"/>
    </xf>
    <xf numFmtId="178" fontId="1" fillId="13" borderId="1" xfId="0" applyNumberFormat="1" applyFont="1" applyFill="1" applyBorder="1" applyAlignment="1">
      <alignment horizontal="center"/>
    </xf>
    <xf numFmtId="177" fontId="1" fillId="13" borderId="1" xfId="0" applyNumberFormat="1" applyFont="1" applyFill="1" applyBorder="1" applyAlignment="1">
      <alignment horizontal="center"/>
    </xf>
    <xf numFmtId="178" fontId="13" fillId="2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1" fontId="1" fillId="14" borderId="1" xfId="0" applyNumberFormat="1" applyFont="1" applyFill="1" applyBorder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15" borderId="4" xfId="0" applyFont="1" applyFill="1" applyBorder="1" applyAlignment="1">
      <alignment horizontal="center"/>
    </xf>
    <xf numFmtId="176" fontId="4" fillId="4" borderId="3" xfId="0" applyNumberFormat="1" applyFont="1" applyFill="1" applyBorder="1" applyAlignment="1">
      <alignment horizontal="center"/>
    </xf>
    <xf numFmtId="0" fontId="4" fillId="16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77" fontId="0" fillId="0" borderId="3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177" fontId="5" fillId="0" borderId="3" xfId="0" applyNumberFormat="1" applyFont="1" applyBorder="1" applyAlignment="1">
      <alignment horizontal="center"/>
    </xf>
    <xf numFmtId="177" fontId="5" fillId="0" borderId="4" xfId="0" applyNumberFormat="1" applyFont="1" applyBorder="1" applyAlignment="1">
      <alignment horizontal="center"/>
    </xf>
    <xf numFmtId="177" fontId="4" fillId="0" borderId="4" xfId="0" applyNumberFormat="1" applyFont="1" applyBorder="1" applyAlignment="1">
      <alignment horizontal="center"/>
    </xf>
    <xf numFmtId="177" fontId="0" fillId="0" borderId="3" xfId="0" applyNumberFormat="1" applyFont="1" applyBorder="1" applyAlignment="1">
      <alignment horizontal="right" vertical="center"/>
    </xf>
    <xf numFmtId="177" fontId="0" fillId="0" borderId="4" xfId="0" applyNumberFormat="1" applyFont="1" applyBorder="1" applyAlignment="1">
      <alignment horizontal="right" vertical="center"/>
    </xf>
    <xf numFmtId="178" fontId="14" fillId="0" borderId="0" xfId="0" applyNumberFormat="1" applyFont="1" applyAlignment="1">
      <alignment horizontal="center" wrapText="1"/>
    </xf>
    <xf numFmtId="178" fontId="14" fillId="14" borderId="0" xfId="0" applyNumberFormat="1" applyFont="1" applyFill="1" applyBorder="1" applyAlignment="1">
      <alignment horizontal="center" wrapText="1"/>
    </xf>
    <xf numFmtId="178" fontId="14" fillId="17" borderId="0" xfId="0" applyNumberFormat="1" applyFont="1" applyFill="1" applyBorder="1" applyAlignment="1">
      <alignment horizontal="center" wrapText="1"/>
    </xf>
    <xf numFmtId="178" fontId="14" fillId="0" borderId="0" xfId="0" applyNumberFormat="1" applyFont="1" applyBorder="1" applyAlignment="1">
      <alignment horizontal="center" wrapText="1"/>
    </xf>
    <xf numFmtId="179" fontId="4" fillId="18" borderId="3" xfId="0" applyNumberFormat="1" applyFont="1" applyFill="1" applyBorder="1" applyAlignment="1">
      <alignment horizontal="center"/>
    </xf>
    <xf numFmtId="181" fontId="0" fillId="0" borderId="0" xfId="0" applyNumberFormat="1" applyFont="1" applyAlignment="1"/>
    <xf numFmtId="179" fontId="4" fillId="0" borderId="3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80" fontId="4" fillId="0" borderId="3" xfId="0" applyNumberFormat="1" applyFont="1" applyBorder="1" applyAlignment="1">
      <alignment horizontal="center"/>
    </xf>
    <xf numFmtId="180" fontId="4" fillId="19" borderId="3" xfId="0" applyNumberFormat="1" applyFont="1" applyFill="1" applyBorder="1" applyAlignment="1">
      <alignment horizontal="center"/>
    </xf>
    <xf numFmtId="1" fontId="5" fillId="20" borderId="4" xfId="0" applyNumberFormat="1" applyFont="1" applyFill="1" applyBorder="1" applyAlignment="1">
      <alignment horizontal="center"/>
    </xf>
    <xf numFmtId="1" fontId="15" fillId="20" borderId="0" xfId="0" applyNumberFormat="1" applyFont="1" applyFill="1" applyBorder="1" applyAlignment="1"/>
    <xf numFmtId="1" fontId="4" fillId="20" borderId="4" xfId="0" applyNumberFormat="1" applyFont="1" applyFill="1" applyBorder="1" applyAlignment="1">
      <alignment horizontal="center"/>
    </xf>
    <xf numFmtId="1" fontId="4" fillId="20" borderId="0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177" fontId="5" fillId="0" borderId="1" xfId="0" applyNumberFormat="1" applyFont="1" applyBorder="1" applyAlignment="1">
      <alignment horizontal="center"/>
    </xf>
    <xf numFmtId="177" fontId="0" fillId="0" borderId="1" xfId="0" applyNumberFormat="1" applyFont="1" applyBorder="1" applyAlignment="1">
      <alignment horizontal="right" vertical="center"/>
    </xf>
    <xf numFmtId="177" fontId="0" fillId="0" borderId="2" xfId="0" applyNumberFormat="1" applyFont="1" applyBorder="1" applyAlignment="1">
      <alignment horizontal="right" vertical="center"/>
    </xf>
    <xf numFmtId="177" fontId="0" fillId="0" borderId="0" xfId="0" applyNumberFormat="1" applyFont="1" applyBorder="1" applyAlignment="1">
      <alignment horizontal="right" vertical="center"/>
    </xf>
    <xf numFmtId="1" fontId="4" fillId="18" borderId="0" xfId="0" applyNumberFormat="1" applyFont="1" applyFill="1" applyBorder="1" applyAlignment="1">
      <alignment horizontal="center"/>
    </xf>
    <xf numFmtId="0" fontId="4" fillId="21" borderId="4" xfId="0" applyFont="1" applyFill="1" applyBorder="1" applyAlignment="1">
      <alignment horizontal="center"/>
    </xf>
    <xf numFmtId="178" fontId="14" fillId="22" borderId="0" xfId="0" applyNumberFormat="1" applyFont="1" applyFill="1" applyBorder="1" applyAlignment="1">
      <alignment horizontal="center" wrapText="1"/>
    </xf>
    <xf numFmtId="180" fontId="4" fillId="23" borderId="3" xfId="0" applyNumberFormat="1" applyFont="1" applyFill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76" fontId="4" fillId="0" borderId="3" xfId="0" applyNumberFormat="1" applyFont="1" applyBorder="1" applyAlignment="1">
      <alignment horizontal="center"/>
    </xf>
    <xf numFmtId="0" fontId="4" fillId="24" borderId="3" xfId="0" applyFont="1" applyFill="1" applyBorder="1" applyAlignment="1">
      <alignment horizontal="center"/>
    </xf>
    <xf numFmtId="0" fontId="4" fillId="25" borderId="4" xfId="0" applyFont="1" applyFill="1" applyBorder="1" applyAlignment="1">
      <alignment horizontal="center"/>
    </xf>
    <xf numFmtId="178" fontId="14" fillId="6" borderId="0" xfId="0" applyNumberFormat="1" applyFont="1" applyFill="1" applyBorder="1" applyAlignment="1">
      <alignment horizontal="center" wrapText="1"/>
    </xf>
    <xf numFmtId="179" fontId="4" fillId="18" borderId="0" xfId="0" applyNumberFormat="1" applyFont="1" applyFill="1" applyBorder="1" applyAlignment="1">
      <alignment horizontal="center"/>
    </xf>
    <xf numFmtId="179" fontId="4" fillId="0" borderId="0" xfId="0" applyNumberFormat="1" applyFont="1" applyBorder="1" applyAlignment="1">
      <alignment horizontal="center"/>
    </xf>
    <xf numFmtId="180" fontId="4" fillId="26" borderId="3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1" fontId="15" fillId="20" borderId="3" xfId="0" applyNumberFormat="1" applyFont="1" applyFill="1" applyBorder="1" applyAlignment="1"/>
    <xf numFmtId="178" fontId="14" fillId="27" borderId="0" xfId="0" applyNumberFormat="1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/>
    </xf>
    <xf numFmtId="176" fontId="6" fillId="4" borderId="3" xfId="0" applyNumberFormat="1" applyFont="1" applyFill="1" applyBorder="1" applyAlignment="1">
      <alignment horizontal="center"/>
    </xf>
    <xf numFmtId="0" fontId="6" fillId="16" borderId="3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77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77" fontId="6" fillId="0" borderId="1" xfId="0" applyNumberFormat="1" applyFont="1" applyBorder="1" applyAlignment="1">
      <alignment horizontal="center"/>
    </xf>
    <xf numFmtId="177" fontId="6" fillId="0" borderId="2" xfId="0" applyNumberFormat="1" applyFont="1" applyBorder="1" applyAlignment="1">
      <alignment horizontal="center"/>
    </xf>
    <xf numFmtId="177" fontId="7" fillId="0" borderId="0" xfId="0" applyNumberFormat="1" applyFont="1" applyBorder="1" applyAlignment="1">
      <alignment horizontal="right" vertical="center"/>
    </xf>
    <xf numFmtId="177" fontId="6" fillId="0" borderId="3" xfId="0" applyNumberFormat="1" applyFont="1" applyBorder="1" applyAlignment="1">
      <alignment horizontal="center"/>
    </xf>
    <xf numFmtId="178" fontId="17" fillId="0" borderId="0" xfId="0" applyNumberFormat="1" applyFont="1" applyAlignment="1">
      <alignment horizontal="center" wrapText="1"/>
    </xf>
    <xf numFmtId="178" fontId="17" fillId="0" borderId="0" xfId="0" applyNumberFormat="1" applyFont="1" applyBorder="1" applyAlignment="1">
      <alignment horizontal="center" wrapText="1"/>
    </xf>
    <xf numFmtId="179" fontId="6" fillId="18" borderId="3" xfId="0" applyNumberFormat="1" applyFont="1" applyFill="1" applyBorder="1" applyAlignment="1">
      <alignment horizontal="center"/>
    </xf>
    <xf numFmtId="181" fontId="7" fillId="0" borderId="0" xfId="0" applyNumberFormat="1" applyFont="1" applyAlignment="1"/>
    <xf numFmtId="179" fontId="6" fillId="0" borderId="3" xfId="0" applyNumberFormat="1" applyFont="1" applyBorder="1" applyAlignment="1">
      <alignment horizontal="center"/>
    </xf>
    <xf numFmtId="178" fontId="6" fillId="0" borderId="3" xfId="0" applyNumberFormat="1" applyFont="1" applyBorder="1" applyAlignment="1">
      <alignment horizontal="center"/>
    </xf>
    <xf numFmtId="177" fontId="14" fillId="0" borderId="3" xfId="0" applyNumberFormat="1" applyFont="1" applyBorder="1" applyAlignment="1">
      <alignment horizontal="center" wrapText="1"/>
    </xf>
    <xf numFmtId="0" fontId="4" fillId="28" borderId="3" xfId="0" applyFont="1" applyFill="1" applyBorder="1" applyAlignment="1">
      <alignment horizontal="center"/>
    </xf>
    <xf numFmtId="0" fontId="4" fillId="22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177" fontId="5" fillId="18" borderId="0" xfId="0" applyNumberFormat="1" applyFont="1" applyFill="1" applyBorder="1" applyAlignment="1">
      <alignment horizontal="center"/>
    </xf>
    <xf numFmtId="1" fontId="4" fillId="20" borderId="3" xfId="0" applyNumberFormat="1" applyFont="1" applyFill="1" applyBorder="1" applyAlignment="1">
      <alignment horizontal="center"/>
    </xf>
    <xf numFmtId="177" fontId="4" fillId="0" borderId="1" xfId="0" applyNumberFormat="1" applyFont="1" applyBorder="1" applyAlignment="1">
      <alignment horizontal="center"/>
    </xf>
    <xf numFmtId="0" fontId="18" fillId="29" borderId="3" xfId="0" applyFont="1" applyFill="1" applyBorder="1" applyAlignment="1">
      <alignment horizontal="center"/>
    </xf>
    <xf numFmtId="177" fontId="5" fillId="30" borderId="0" xfId="0" applyNumberFormat="1" applyFont="1" applyFill="1" applyBorder="1" applyAlignment="1">
      <alignment horizontal="center"/>
    </xf>
    <xf numFmtId="178" fontId="0" fillId="0" borderId="0" xfId="0" applyNumberFormat="1" applyFont="1" applyAlignment="1"/>
    <xf numFmtId="179" fontId="0" fillId="0" borderId="3" xfId="0" applyNumberFormat="1" applyFont="1" applyBorder="1" applyAlignment="1"/>
    <xf numFmtId="179" fontId="0" fillId="0" borderId="0" xfId="0" applyNumberFormat="1" applyFont="1" applyAlignment="1"/>
    <xf numFmtId="181" fontId="0" fillId="0" borderId="3" xfId="0" applyNumberFormat="1" applyFont="1" applyBorder="1" applyAlignment="1"/>
    <xf numFmtId="177" fontId="7" fillId="0" borderId="2" xfId="0" applyNumberFormat="1" applyFont="1" applyBorder="1" applyAlignment="1"/>
    <xf numFmtId="181" fontId="0" fillId="0" borderId="3" xfId="0" applyNumberFormat="1" applyFont="1" applyBorder="1" applyAlignment="1">
      <alignment horizontal="center"/>
    </xf>
    <xf numFmtId="178" fontId="5" fillId="31" borderId="3" xfId="0" applyNumberFormat="1" applyFont="1" applyFill="1" applyBorder="1" applyAlignment="1">
      <alignment horizontal="center"/>
    </xf>
    <xf numFmtId="0" fontId="4" fillId="31" borderId="3" xfId="0" applyFont="1" applyFill="1" applyBorder="1" applyAlignment="1">
      <alignment horizontal="center"/>
    </xf>
    <xf numFmtId="177" fontId="5" fillId="31" borderId="3" xfId="0" applyNumberFormat="1" applyFont="1" applyFill="1" applyBorder="1" applyAlignment="1">
      <alignment horizontal="center"/>
    </xf>
    <xf numFmtId="0" fontId="0" fillId="0" borderId="6" xfId="0" applyFont="1" applyBorder="1" applyAlignment="1"/>
    <xf numFmtId="178" fontId="9" fillId="6" borderId="0" xfId="0" applyNumberFormat="1" applyFont="1" applyFill="1" applyBorder="1" applyAlignment="1">
      <alignment vertical="center"/>
    </xf>
    <xf numFmtId="178" fontId="0" fillId="0" borderId="0" xfId="0" applyNumberFormat="1">
      <alignment vertical="center"/>
    </xf>
    <xf numFmtId="0" fontId="1" fillId="2" borderId="7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" xfId="0" applyNumberFormat="1" applyFont="1" applyBorder="1" applyAlignment="1">
      <alignment horizontal="center"/>
    </xf>
    <xf numFmtId="179" fontId="20" fillId="18" borderId="3" xfId="0" applyNumberFormat="1" applyFont="1" applyFill="1" applyBorder="1" applyAlignment="1">
      <alignment horizontal="center"/>
    </xf>
    <xf numFmtId="179" fontId="0" fillId="0" borderId="0" xfId="0" applyNumberFormat="1">
      <alignment vertical="center"/>
    </xf>
    <xf numFmtId="177" fontId="0" fillId="0" borderId="0" xfId="0" applyNumberFormat="1" applyFont="1" applyBorder="1" applyAlignment="1">
      <alignment horizontal="right"/>
    </xf>
    <xf numFmtId="177" fontId="14" fillId="0" borderId="2" xfId="0" applyNumberFormat="1" applyFont="1" applyBorder="1" applyAlignment="1">
      <alignment horizontal="center" wrapText="1"/>
    </xf>
    <xf numFmtId="177" fontId="16" fillId="0" borderId="2" xfId="0" applyNumberFormat="1" applyFont="1" applyBorder="1" applyAlignment="1">
      <alignment horizontal="center" wrapText="1"/>
    </xf>
    <xf numFmtId="0" fontId="0" fillId="0" borderId="5" xfId="0" applyFont="1" applyBorder="1" applyAlignment="1"/>
    <xf numFmtId="0" fontId="9" fillId="6" borderId="0" xfId="0" applyFont="1" applyFill="1" applyBorder="1" applyAlignment="1">
      <alignment vertical="center"/>
    </xf>
    <xf numFmtId="177" fontId="9" fillId="6" borderId="0" xfId="0" applyNumberFormat="1" applyFont="1" applyFill="1" applyBorder="1" applyAlignment="1">
      <alignment horizontal="left" vertical="center"/>
    </xf>
    <xf numFmtId="1" fontId="4" fillId="18" borderId="4" xfId="0" applyNumberFormat="1" applyFont="1" applyFill="1" applyBorder="1" applyAlignment="1">
      <alignment horizontal="center"/>
    </xf>
    <xf numFmtId="0" fontId="12" fillId="23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center"/>
    </xf>
    <xf numFmtId="2" fontId="0" fillId="0" borderId="0" xfId="0" applyNumberFormat="1" applyFont="1" applyBorder="1" applyAlignment="1">
      <alignment horizontal="right"/>
    </xf>
    <xf numFmtId="2" fontId="0" fillId="0" borderId="0" xfId="0" applyNumberFormat="1" applyAlignment="1">
      <alignment horizontal="right" vertical="center"/>
    </xf>
    <xf numFmtId="1" fontId="0" fillId="0" borderId="0" xfId="0" applyNumberFormat="1" applyFont="1" applyBorder="1" applyAlignment="1">
      <alignment horizontal="right"/>
    </xf>
    <xf numFmtId="2" fontId="24" fillId="0" borderId="0" xfId="0" applyNumberFormat="1" applyFont="1" applyBorder="1" applyAlignment="1">
      <alignment horizontal="right"/>
    </xf>
    <xf numFmtId="0" fontId="25" fillId="0" borderId="9" xfId="1" applyFont="1" applyBorder="1" applyAlignment="1">
      <alignment horizontal="center"/>
    </xf>
    <xf numFmtId="182" fontId="25" fillId="19" borderId="10" xfId="2" applyNumberFormat="1" applyFont="1" applyFill="1" applyBorder="1" applyAlignment="1">
      <alignment horizontal="center" vertical="center"/>
    </xf>
    <xf numFmtId="182" fontId="25" fillId="19" borderId="11" xfId="2" applyNumberFormat="1" applyFont="1" applyFill="1" applyBorder="1" applyAlignment="1">
      <alignment horizontal="center" vertical="center"/>
    </xf>
    <xf numFmtId="182" fontId="25" fillId="19" borderId="12" xfId="2" applyNumberFormat="1" applyFont="1" applyFill="1" applyBorder="1" applyAlignment="1">
      <alignment horizontal="center" vertical="center"/>
    </xf>
    <xf numFmtId="182" fontId="25" fillId="32" borderId="11" xfId="2" applyNumberFormat="1" applyFont="1" applyFill="1" applyBorder="1" applyAlignment="1">
      <alignment horizontal="center" vertical="center"/>
    </xf>
    <xf numFmtId="0" fontId="12" fillId="0" borderId="0" xfId="1" applyBorder="1"/>
    <xf numFmtId="0" fontId="12" fillId="0" borderId="11" xfId="1" applyBorder="1"/>
    <xf numFmtId="0" fontId="25" fillId="0" borderId="9" xfId="1" applyFont="1" applyBorder="1" applyAlignment="1">
      <alignment horizontal="center" wrapText="1"/>
    </xf>
    <xf numFmtId="178" fontId="28" fillId="33" borderId="9" xfId="2" applyNumberFormat="1" applyFont="1" applyFill="1" applyBorder="1" applyAlignment="1">
      <alignment horizontal="center" vertical="center"/>
    </xf>
    <xf numFmtId="178" fontId="28" fillId="34" borderId="9" xfId="2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0" fontId="0" fillId="0" borderId="13" xfId="0" applyBorder="1">
      <alignment vertical="center"/>
    </xf>
    <xf numFmtId="0" fontId="0" fillId="9" borderId="13" xfId="0" applyFill="1" applyBorder="1">
      <alignment vertical="center"/>
    </xf>
    <xf numFmtId="0" fontId="0" fillId="35" borderId="13" xfId="0" applyFill="1" applyBorder="1">
      <alignment vertical="center"/>
    </xf>
    <xf numFmtId="0" fontId="0" fillId="36" borderId="13" xfId="0" applyFill="1" applyBorder="1">
      <alignment vertical="center"/>
    </xf>
    <xf numFmtId="0" fontId="0" fillId="0" borderId="14" xfId="0" applyBorder="1">
      <alignment vertical="center"/>
    </xf>
    <xf numFmtId="0" fontId="0" fillId="0" borderId="0" xfId="0" applyBorder="1">
      <alignment vertical="center"/>
    </xf>
    <xf numFmtId="0" fontId="0" fillId="36" borderId="0" xfId="0" applyFill="1">
      <alignment vertical="center"/>
    </xf>
    <xf numFmtId="0" fontId="0" fillId="36" borderId="0" xfId="0" applyFill="1" applyBorder="1">
      <alignment vertical="center"/>
    </xf>
    <xf numFmtId="0" fontId="0" fillId="36" borderId="14" xfId="0" applyFill="1" applyBorder="1">
      <alignment vertical="center"/>
    </xf>
    <xf numFmtId="0" fontId="0" fillId="32" borderId="14" xfId="0" applyFill="1" applyBorder="1">
      <alignment vertical="center"/>
    </xf>
    <xf numFmtId="183" fontId="1" fillId="2" borderId="1" xfId="0" applyNumberFormat="1" applyFont="1" applyFill="1" applyBorder="1" applyAlignment="1">
      <alignment horizontal="center"/>
    </xf>
    <xf numFmtId="178" fontId="1" fillId="37" borderId="1" xfId="0" applyNumberFormat="1" applyFont="1" applyFill="1" applyBorder="1" applyAlignment="1">
      <alignment horizontal="center"/>
    </xf>
    <xf numFmtId="183" fontId="4" fillId="0" borderId="3" xfId="0" applyNumberFormat="1" applyFont="1" applyFill="1" applyBorder="1" applyAlignment="1">
      <alignment horizontal="center"/>
    </xf>
    <xf numFmtId="0" fontId="0" fillId="0" borderId="0" xfId="0" applyFont="1" applyAlignment="1"/>
    <xf numFmtId="184" fontId="0" fillId="0" borderId="0" xfId="0" applyNumberFormat="1">
      <alignment vertical="center"/>
    </xf>
    <xf numFmtId="0" fontId="5" fillId="0" borderId="0" xfId="0" applyFont="1" applyAlignment="1">
      <alignment horizontal="center"/>
    </xf>
    <xf numFmtId="177" fontId="5" fillId="0" borderId="0" xfId="0" applyNumberFormat="1" applyFont="1" applyAlignment="1">
      <alignment horizontal="center"/>
    </xf>
    <xf numFmtId="177" fontId="5" fillId="0" borderId="0" xfId="0" applyNumberFormat="1" applyFont="1" applyAlignment="1"/>
    <xf numFmtId="0" fontId="0" fillId="0" borderId="0" xfId="0" applyFill="1" applyBorder="1">
      <alignment vertical="center"/>
    </xf>
  </cellXfs>
  <cellStyles count="3">
    <cellStyle name="표준" xfId="0" builtinId="0"/>
    <cellStyle name="표준 2" xfId="1"/>
    <cellStyle name="표준_Sheet1" xfId="2"/>
  </cellStyles>
  <dxfs count="4"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FF"/>
          <bgColor rgb="FF00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zoomScale="145" zoomScaleNormal="145" workbookViewId="0">
      <selection activeCell="N2" sqref="N2"/>
    </sheetView>
  </sheetViews>
  <sheetFormatPr defaultRowHeight="12.75"/>
  <cols>
    <col min="1" max="1" width="9" style="73"/>
    <col min="2" max="3" width="9.875" style="73" bestFit="1" customWidth="1"/>
    <col min="4" max="4" width="9.875" style="73" customWidth="1"/>
    <col min="5" max="6" width="9.875" style="73" bestFit="1" customWidth="1"/>
    <col min="7" max="7" width="9.875" style="73" customWidth="1"/>
    <col min="8" max="16384" width="9" style="73"/>
  </cols>
  <sheetData>
    <row r="1" spans="1:14" ht="13.5">
      <c r="A1" s="90" t="s">
        <v>0</v>
      </c>
      <c r="B1" s="88" t="s">
        <v>191</v>
      </c>
      <c r="C1" s="88" t="s">
        <v>190</v>
      </c>
      <c r="D1" s="88" t="s">
        <v>189</v>
      </c>
      <c r="E1" s="88" t="s">
        <v>188</v>
      </c>
      <c r="F1" s="89" t="s">
        <v>187</v>
      </c>
      <c r="G1" s="88" t="s">
        <v>186</v>
      </c>
      <c r="K1" s="91" t="s">
        <v>0</v>
      </c>
      <c r="L1" s="88" t="s">
        <v>190</v>
      </c>
      <c r="M1" s="88" t="s">
        <v>188</v>
      </c>
      <c r="N1" s="88" t="s">
        <v>192</v>
      </c>
    </row>
    <row r="2" spans="1:14" ht="13.5">
      <c r="A2" s="80">
        <v>2484</v>
      </c>
      <c r="B2" s="87">
        <v>43567</v>
      </c>
      <c r="C2" s="77">
        <v>43593</v>
      </c>
      <c r="D2" s="77">
        <f t="shared" ref="D2:D17" si="0">C2-B2</f>
        <v>26</v>
      </c>
      <c r="E2" s="74">
        <v>43705</v>
      </c>
      <c r="F2" s="86">
        <v>43754</v>
      </c>
      <c r="G2" s="74">
        <f t="shared" ref="G2:G17" si="1">F2-E2</f>
        <v>49</v>
      </c>
      <c r="K2" s="92">
        <v>2484</v>
      </c>
      <c r="L2" s="77">
        <v>43593</v>
      </c>
      <c r="M2" s="74">
        <v>43705</v>
      </c>
      <c r="N2" s="74">
        <v>49</v>
      </c>
    </row>
    <row r="3" spans="1:14" ht="13.5">
      <c r="A3" s="80">
        <v>2287</v>
      </c>
      <c r="B3" s="79">
        <v>43321</v>
      </c>
      <c r="C3" s="78">
        <v>43347</v>
      </c>
      <c r="D3" s="77">
        <f t="shared" si="0"/>
        <v>26</v>
      </c>
      <c r="E3" s="78">
        <v>43462</v>
      </c>
      <c r="F3" s="81">
        <v>43488</v>
      </c>
      <c r="G3" s="77">
        <f t="shared" si="1"/>
        <v>26</v>
      </c>
      <c r="K3" s="92">
        <v>2287</v>
      </c>
      <c r="L3" s="78">
        <v>43347</v>
      </c>
      <c r="M3" s="78">
        <v>43462</v>
      </c>
      <c r="N3" s="77">
        <v>26</v>
      </c>
    </row>
    <row r="4" spans="1:14" ht="13.5">
      <c r="A4" s="80">
        <v>2272</v>
      </c>
      <c r="B4" s="79">
        <v>43300</v>
      </c>
      <c r="C4" s="78">
        <v>43326</v>
      </c>
      <c r="D4" s="77">
        <f t="shared" si="0"/>
        <v>26</v>
      </c>
      <c r="E4" s="78">
        <v>43454</v>
      </c>
      <c r="F4" s="81">
        <v>43480</v>
      </c>
      <c r="G4" s="77">
        <f t="shared" si="1"/>
        <v>26</v>
      </c>
      <c r="K4" s="92">
        <v>2272</v>
      </c>
      <c r="L4" s="78">
        <v>43326</v>
      </c>
      <c r="M4" s="78">
        <v>43454</v>
      </c>
      <c r="N4" s="77">
        <v>26</v>
      </c>
    </row>
    <row r="5" spans="1:14" ht="13.5">
      <c r="A5" s="80">
        <v>2335</v>
      </c>
      <c r="B5" s="79">
        <v>43385</v>
      </c>
      <c r="C5" s="78">
        <v>43411</v>
      </c>
      <c r="D5" s="77">
        <f t="shared" si="0"/>
        <v>26</v>
      </c>
      <c r="E5" s="85">
        <v>43559</v>
      </c>
      <c r="F5" s="84">
        <v>43595</v>
      </c>
      <c r="G5" s="83">
        <f t="shared" si="1"/>
        <v>36</v>
      </c>
      <c r="K5" s="92">
        <v>2335</v>
      </c>
      <c r="L5" s="78">
        <v>43411</v>
      </c>
      <c r="M5" s="85">
        <v>43559</v>
      </c>
      <c r="N5" s="83">
        <v>36</v>
      </c>
    </row>
    <row r="6" spans="1:14" ht="13.5">
      <c r="A6" s="80">
        <v>2131</v>
      </c>
      <c r="B6" s="79">
        <v>43097</v>
      </c>
      <c r="C6" s="78">
        <v>43123</v>
      </c>
      <c r="D6" s="77">
        <f t="shared" si="0"/>
        <v>26</v>
      </c>
      <c r="E6" s="78">
        <v>43300</v>
      </c>
      <c r="F6" s="82">
        <v>43326</v>
      </c>
      <c r="G6" s="77">
        <f t="shared" si="1"/>
        <v>26</v>
      </c>
      <c r="K6" s="92">
        <v>2131</v>
      </c>
      <c r="L6" s="78">
        <v>43123</v>
      </c>
      <c r="M6" s="78">
        <v>43300</v>
      </c>
      <c r="N6" s="77">
        <v>26</v>
      </c>
    </row>
    <row r="7" spans="1:14" ht="13.5">
      <c r="A7" s="80">
        <v>2039</v>
      </c>
      <c r="B7" s="79">
        <v>42972</v>
      </c>
      <c r="C7" s="78">
        <v>42998</v>
      </c>
      <c r="D7" s="77">
        <f t="shared" si="0"/>
        <v>26</v>
      </c>
      <c r="E7" s="78">
        <v>43224</v>
      </c>
      <c r="F7" s="81">
        <v>43250</v>
      </c>
      <c r="G7" s="77">
        <f t="shared" si="1"/>
        <v>26</v>
      </c>
      <c r="K7" s="92">
        <v>2039</v>
      </c>
      <c r="L7" s="78">
        <v>42998</v>
      </c>
      <c r="M7" s="78">
        <v>43224</v>
      </c>
      <c r="N7" s="77">
        <v>26</v>
      </c>
    </row>
    <row r="8" spans="1:14" ht="13.5">
      <c r="A8" s="80">
        <v>2383</v>
      </c>
      <c r="B8" s="79">
        <v>43454</v>
      </c>
      <c r="C8" s="78">
        <v>43480</v>
      </c>
      <c r="D8" s="77">
        <f t="shared" si="0"/>
        <v>26</v>
      </c>
      <c r="E8" s="85">
        <v>43707</v>
      </c>
      <c r="F8" s="84">
        <v>43746</v>
      </c>
      <c r="G8" s="83">
        <f t="shared" si="1"/>
        <v>39</v>
      </c>
      <c r="K8" s="92">
        <v>2383</v>
      </c>
      <c r="L8" s="78">
        <v>43480</v>
      </c>
      <c r="M8" s="85">
        <v>43707</v>
      </c>
      <c r="N8" s="83">
        <v>39</v>
      </c>
    </row>
    <row r="9" spans="1:14" ht="13.5">
      <c r="A9" s="80">
        <v>1154</v>
      </c>
      <c r="B9" s="79">
        <v>42089</v>
      </c>
      <c r="C9" s="78">
        <v>42115</v>
      </c>
      <c r="D9" s="77">
        <f t="shared" si="0"/>
        <v>26</v>
      </c>
      <c r="E9" s="76">
        <v>42369</v>
      </c>
      <c r="F9" s="75">
        <v>42516</v>
      </c>
      <c r="G9" s="74">
        <f t="shared" si="1"/>
        <v>147</v>
      </c>
      <c r="K9" s="92">
        <v>1154</v>
      </c>
      <c r="L9" s="78">
        <v>42115</v>
      </c>
      <c r="M9" s="76">
        <v>42369</v>
      </c>
      <c r="N9" s="74">
        <v>147</v>
      </c>
    </row>
    <row r="10" spans="1:14" ht="13.5">
      <c r="A10" s="80">
        <v>1270</v>
      </c>
      <c r="B10" s="79">
        <v>42159</v>
      </c>
      <c r="C10" s="78">
        <v>42185</v>
      </c>
      <c r="D10" s="77">
        <f t="shared" si="0"/>
        <v>26</v>
      </c>
      <c r="E10" s="78">
        <v>42481</v>
      </c>
      <c r="F10" s="81">
        <v>42507</v>
      </c>
      <c r="G10" s="77">
        <f t="shared" si="1"/>
        <v>26</v>
      </c>
      <c r="K10" s="92">
        <v>1270</v>
      </c>
      <c r="L10" s="78">
        <v>42185</v>
      </c>
      <c r="M10" s="78">
        <v>42481</v>
      </c>
      <c r="N10" s="77">
        <v>26</v>
      </c>
    </row>
    <row r="11" spans="1:14" ht="13.5">
      <c r="A11" s="80">
        <v>1265</v>
      </c>
      <c r="B11" s="79">
        <v>42111</v>
      </c>
      <c r="C11" s="78">
        <v>42137</v>
      </c>
      <c r="D11" s="77">
        <f t="shared" si="0"/>
        <v>26</v>
      </c>
      <c r="E11" s="78">
        <v>42454</v>
      </c>
      <c r="F11" s="82">
        <v>42480</v>
      </c>
      <c r="G11" s="77">
        <f t="shared" si="1"/>
        <v>26</v>
      </c>
      <c r="K11" s="92">
        <v>1265</v>
      </c>
      <c r="L11" s="78">
        <v>42137</v>
      </c>
      <c r="M11" s="78">
        <v>42454</v>
      </c>
      <c r="N11" s="77">
        <v>26</v>
      </c>
    </row>
    <row r="12" spans="1:14" ht="13.5">
      <c r="A12" s="80">
        <v>2102</v>
      </c>
      <c r="B12" s="79">
        <v>43062</v>
      </c>
      <c r="C12" s="78">
        <v>43088</v>
      </c>
      <c r="D12" s="77">
        <f t="shared" si="0"/>
        <v>26</v>
      </c>
      <c r="E12" s="78">
        <v>43406</v>
      </c>
      <c r="F12" s="82">
        <v>43432</v>
      </c>
      <c r="G12" s="77">
        <f t="shared" si="1"/>
        <v>26</v>
      </c>
      <c r="K12" s="92">
        <v>2102</v>
      </c>
      <c r="L12" s="78">
        <v>43088</v>
      </c>
      <c r="M12" s="78">
        <v>43406</v>
      </c>
      <c r="N12" s="77">
        <v>26</v>
      </c>
    </row>
    <row r="13" spans="1:14" ht="13.5">
      <c r="A13" s="80">
        <v>1701</v>
      </c>
      <c r="B13" s="79">
        <v>42524</v>
      </c>
      <c r="C13" s="78">
        <v>42550</v>
      </c>
      <c r="D13" s="77">
        <f t="shared" si="0"/>
        <v>26</v>
      </c>
      <c r="E13" s="78">
        <v>42874</v>
      </c>
      <c r="F13" s="81">
        <v>42900</v>
      </c>
      <c r="G13" s="77">
        <f t="shared" si="1"/>
        <v>26</v>
      </c>
      <c r="K13" s="92">
        <v>1701</v>
      </c>
      <c r="L13" s="78">
        <v>42550</v>
      </c>
      <c r="M13" s="78">
        <v>42874</v>
      </c>
      <c r="N13" s="77">
        <v>26</v>
      </c>
    </row>
    <row r="14" spans="1:14" ht="13.5">
      <c r="A14" s="80">
        <v>1186</v>
      </c>
      <c r="B14" s="79">
        <v>42117</v>
      </c>
      <c r="C14" s="78">
        <v>42143</v>
      </c>
      <c r="D14" s="77">
        <f t="shared" si="0"/>
        <v>26</v>
      </c>
      <c r="E14" s="78">
        <v>42489</v>
      </c>
      <c r="F14" s="81">
        <v>42515</v>
      </c>
      <c r="G14" s="77">
        <f t="shared" si="1"/>
        <v>26</v>
      </c>
      <c r="K14" s="92">
        <v>1186</v>
      </c>
      <c r="L14" s="78">
        <v>42143</v>
      </c>
      <c r="M14" s="78">
        <v>42489</v>
      </c>
      <c r="N14" s="77">
        <v>26</v>
      </c>
    </row>
    <row r="15" spans="1:14" ht="13.5">
      <c r="A15" s="80">
        <v>2081</v>
      </c>
      <c r="B15" s="79">
        <v>43035</v>
      </c>
      <c r="C15" s="78">
        <v>43061</v>
      </c>
      <c r="D15" s="77">
        <f t="shared" si="0"/>
        <v>26</v>
      </c>
      <c r="E15" s="78">
        <v>43517</v>
      </c>
      <c r="F15" s="81">
        <v>43543</v>
      </c>
      <c r="G15" s="77">
        <f t="shared" si="1"/>
        <v>26</v>
      </c>
      <c r="K15" s="92">
        <v>2081</v>
      </c>
      <c r="L15" s="78">
        <v>43061</v>
      </c>
      <c r="M15" s="78">
        <v>43517</v>
      </c>
      <c r="N15" s="77">
        <v>26</v>
      </c>
    </row>
    <row r="16" spans="1:14" ht="13.5">
      <c r="A16" s="80">
        <v>1984</v>
      </c>
      <c r="B16" s="79">
        <v>43027</v>
      </c>
      <c r="C16" s="78">
        <v>43053</v>
      </c>
      <c r="D16" s="77">
        <f t="shared" si="0"/>
        <v>26</v>
      </c>
      <c r="E16" s="78">
        <v>43518</v>
      </c>
      <c r="F16" s="81">
        <v>43544</v>
      </c>
      <c r="G16" s="77">
        <f t="shared" si="1"/>
        <v>26</v>
      </c>
      <c r="K16" s="92">
        <v>1984</v>
      </c>
      <c r="L16" s="78">
        <v>43053</v>
      </c>
      <c r="M16" s="78">
        <v>43518</v>
      </c>
      <c r="N16" s="77">
        <v>26</v>
      </c>
    </row>
    <row r="17" spans="1:14" ht="13.5">
      <c r="A17" s="80">
        <v>2103</v>
      </c>
      <c r="B17" s="79">
        <v>43119</v>
      </c>
      <c r="C17" s="78">
        <v>43145</v>
      </c>
      <c r="D17" s="77">
        <f t="shared" si="0"/>
        <v>26</v>
      </c>
      <c r="E17" s="76">
        <v>43699</v>
      </c>
      <c r="F17" s="75">
        <v>43817</v>
      </c>
      <c r="G17" s="74">
        <f t="shared" si="1"/>
        <v>118</v>
      </c>
      <c r="K17" s="92">
        <v>2103</v>
      </c>
      <c r="L17" s="78">
        <v>43145</v>
      </c>
      <c r="M17" s="76">
        <v>43699</v>
      </c>
      <c r="N17" s="74">
        <v>118</v>
      </c>
    </row>
  </sheetData>
  <autoFilter ref="A1:G17"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98"/>
  <sheetViews>
    <sheetView topLeftCell="DH1" workbookViewId="0">
      <selection activeCell="D17" sqref="D17"/>
    </sheetView>
  </sheetViews>
  <sheetFormatPr defaultRowHeight="16.5"/>
  <cols>
    <col min="25" max="25" width="21.375" bestFit="1" customWidth="1"/>
    <col min="26" max="26" width="20.125" bestFit="1" customWidth="1"/>
    <col min="27" max="27" width="20.75" bestFit="1" customWidth="1"/>
    <col min="87" max="87" width="12.25" bestFit="1" customWidth="1"/>
    <col min="90" max="90" width="12.875" bestFit="1" customWidth="1"/>
  </cols>
  <sheetData>
    <row r="1" spans="1:136">
      <c r="A1" s="1" t="s">
        <v>0</v>
      </c>
      <c r="B1" s="2" t="s">
        <v>193</v>
      </c>
      <c r="C1" s="3" t="s">
        <v>194</v>
      </c>
      <c r="D1" s="1" t="s">
        <v>195</v>
      </c>
      <c r="E1" s="2" t="s">
        <v>193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93" t="s">
        <v>203</v>
      </c>
      <c r="N1" s="1" t="s">
        <v>204</v>
      </c>
      <c r="O1" s="4" t="s">
        <v>191</v>
      </c>
      <c r="P1" s="4" t="s">
        <v>190</v>
      </c>
      <c r="Q1" s="4" t="s">
        <v>188</v>
      </c>
      <c r="R1" s="94" t="s">
        <v>187</v>
      </c>
      <c r="S1" s="94" t="s">
        <v>205</v>
      </c>
      <c r="T1" s="94" t="s">
        <v>206</v>
      </c>
      <c r="U1" s="94" t="s">
        <v>207</v>
      </c>
      <c r="V1" s="94" t="s">
        <v>208</v>
      </c>
      <c r="W1" s="94" t="s">
        <v>209</v>
      </c>
      <c r="X1" s="94" t="s">
        <v>210</v>
      </c>
      <c r="Y1" s="10" t="s">
        <v>211</v>
      </c>
      <c r="Z1" s="94" t="s">
        <v>212</v>
      </c>
      <c r="AA1" s="10" t="s">
        <v>213</v>
      </c>
      <c r="AB1" s="10" t="s">
        <v>214</v>
      </c>
      <c r="AC1" s="10" t="s">
        <v>215</v>
      </c>
      <c r="AD1" s="10" t="s">
        <v>216</v>
      </c>
      <c r="AE1" s="10" t="s">
        <v>217</v>
      </c>
      <c r="AF1" s="10" t="s">
        <v>218</v>
      </c>
      <c r="AG1" s="10" t="s">
        <v>219</v>
      </c>
      <c r="AH1" s="13" t="s">
        <v>220</v>
      </c>
      <c r="AI1" s="95" t="s">
        <v>221</v>
      </c>
      <c r="AJ1" s="95" t="s">
        <v>222</v>
      </c>
      <c r="AK1" s="95" t="s">
        <v>223</v>
      </c>
      <c r="AL1" s="13" t="s">
        <v>224</v>
      </c>
      <c r="AM1" s="13" t="s">
        <v>225</v>
      </c>
      <c r="AN1" s="13" t="s">
        <v>226</v>
      </c>
      <c r="AO1" s="13" t="s">
        <v>227</v>
      </c>
      <c r="AP1" s="13" t="s">
        <v>228</v>
      </c>
      <c r="AQ1" s="96" t="s">
        <v>229</v>
      </c>
      <c r="AR1" s="96" t="s">
        <v>230</v>
      </c>
      <c r="AS1" s="96" t="s">
        <v>231</v>
      </c>
      <c r="AT1" s="96" t="s">
        <v>232</v>
      </c>
      <c r="AU1" s="96" t="s">
        <v>233</v>
      </c>
      <c r="AV1" s="96" t="s">
        <v>234</v>
      </c>
      <c r="AW1" s="96" t="s">
        <v>235</v>
      </c>
      <c r="AX1" s="96" t="s">
        <v>236</v>
      </c>
      <c r="AY1" s="96" t="s">
        <v>237</v>
      </c>
      <c r="AZ1" s="96" t="s">
        <v>238</v>
      </c>
      <c r="BA1" s="96" t="s">
        <v>239</v>
      </c>
      <c r="BB1" s="96" t="s">
        <v>240</v>
      </c>
      <c r="BC1" s="96" t="s">
        <v>241</v>
      </c>
      <c r="BD1" s="96" t="s">
        <v>242</v>
      </c>
      <c r="BE1" s="96" t="s">
        <v>243</v>
      </c>
      <c r="BF1" s="96" t="s">
        <v>244</v>
      </c>
      <c r="BG1" s="96" t="s">
        <v>245</v>
      </c>
      <c r="BH1" s="96" t="s">
        <v>246</v>
      </c>
      <c r="BI1" s="96" t="s">
        <v>247</v>
      </c>
      <c r="BJ1" s="96" t="s">
        <v>248</v>
      </c>
      <c r="BK1" s="96" t="s">
        <v>249</v>
      </c>
      <c r="BL1" s="96" t="s">
        <v>250</v>
      </c>
      <c r="BM1" s="96" t="s">
        <v>251</v>
      </c>
      <c r="BN1" s="96" t="s">
        <v>252</v>
      </c>
      <c r="BO1" s="96" t="s">
        <v>253</v>
      </c>
      <c r="BP1" s="96" t="s">
        <v>254</v>
      </c>
      <c r="BQ1" s="96" t="s">
        <v>255</v>
      </c>
      <c r="BR1" s="96" t="s">
        <v>256</v>
      </c>
      <c r="BS1" s="96" t="s">
        <v>257</v>
      </c>
      <c r="BT1" s="96" t="s">
        <v>258</v>
      </c>
      <c r="BU1" s="96" t="s">
        <v>259</v>
      </c>
      <c r="BV1" s="96" t="s">
        <v>260</v>
      </c>
      <c r="BW1" s="96" t="s">
        <v>261</v>
      </c>
      <c r="BX1" s="96" t="s">
        <v>262</v>
      </c>
      <c r="BY1" s="96" t="s">
        <v>263</v>
      </c>
      <c r="BZ1" s="96" t="s">
        <v>264</v>
      </c>
      <c r="CA1" s="13" t="s">
        <v>265</v>
      </c>
      <c r="CB1" s="14" t="s">
        <v>266</v>
      </c>
      <c r="CC1" s="15" t="s">
        <v>267</v>
      </c>
      <c r="CD1" s="13" t="s">
        <v>268</v>
      </c>
      <c r="CE1" s="4" t="s">
        <v>269</v>
      </c>
      <c r="CF1" s="97" t="s">
        <v>270</v>
      </c>
      <c r="CG1" s="97" t="s">
        <v>271</v>
      </c>
      <c r="CH1" s="13" t="s">
        <v>174</v>
      </c>
      <c r="CI1" s="14" t="s">
        <v>175</v>
      </c>
      <c r="CJ1" s="15" t="s">
        <v>272</v>
      </c>
      <c r="CK1" s="13" t="s">
        <v>176</v>
      </c>
      <c r="CL1" s="14" t="s">
        <v>177</v>
      </c>
      <c r="CM1" s="15" t="s">
        <v>273</v>
      </c>
      <c r="CN1" s="13" t="s">
        <v>178</v>
      </c>
      <c r="CO1" s="14" t="s">
        <v>179</v>
      </c>
      <c r="CP1" s="15" t="s">
        <v>274</v>
      </c>
      <c r="CQ1" s="13" t="s">
        <v>180</v>
      </c>
      <c r="CR1" s="14" t="s">
        <v>181</v>
      </c>
      <c r="CS1" s="15" t="s">
        <v>275</v>
      </c>
      <c r="CT1" s="13" t="s">
        <v>182</v>
      </c>
      <c r="CU1" s="14" t="s">
        <v>183</v>
      </c>
      <c r="CV1" s="15" t="s">
        <v>276</v>
      </c>
      <c r="CW1" s="13" t="s">
        <v>184</v>
      </c>
      <c r="CX1" s="14" t="s">
        <v>185</v>
      </c>
      <c r="CY1" s="15" t="s">
        <v>277</v>
      </c>
      <c r="CZ1" s="98" t="s">
        <v>278</v>
      </c>
      <c r="DA1" s="98" t="s">
        <v>279</v>
      </c>
      <c r="DB1" s="98" t="s">
        <v>280</v>
      </c>
      <c r="DC1" s="98" t="s">
        <v>281</v>
      </c>
      <c r="DD1" s="98" t="s">
        <v>282</v>
      </c>
      <c r="DE1" s="99" t="s">
        <v>283</v>
      </c>
      <c r="DF1" s="98" t="s">
        <v>284</v>
      </c>
      <c r="DG1" s="99" t="s">
        <v>285</v>
      </c>
      <c r="DH1" s="100" t="s">
        <v>286</v>
      </c>
      <c r="DI1" s="100" t="s">
        <v>287</v>
      </c>
      <c r="DJ1" s="100" t="s">
        <v>288</v>
      </c>
      <c r="DK1" s="101" t="s">
        <v>289</v>
      </c>
      <c r="DL1" s="102" t="s">
        <v>290</v>
      </c>
      <c r="DM1" s="101" t="s">
        <v>291</v>
      </c>
      <c r="DN1" s="102" t="s">
        <v>292</v>
      </c>
      <c r="DO1" s="103" t="s">
        <v>293</v>
      </c>
      <c r="DP1" s="93" t="s">
        <v>294</v>
      </c>
      <c r="DQ1" s="93" t="s">
        <v>295</v>
      </c>
      <c r="DR1" s="104" t="s">
        <v>296</v>
      </c>
      <c r="DS1" s="105" t="s">
        <v>297</v>
      </c>
      <c r="DT1" s="106" t="s">
        <v>298</v>
      </c>
      <c r="DU1" s="105" t="s">
        <v>299</v>
      </c>
      <c r="DV1" s="106" t="s">
        <v>300</v>
      </c>
      <c r="DW1" s="105" t="s">
        <v>301</v>
      </c>
      <c r="DX1" s="106" t="s">
        <v>302</v>
      </c>
      <c r="DY1" s="105" t="s">
        <v>303</v>
      </c>
      <c r="DZ1" s="106" t="s">
        <v>304</v>
      </c>
      <c r="EA1" s="105" t="s">
        <v>305</v>
      </c>
      <c r="EB1" s="106" t="s">
        <v>306</v>
      </c>
      <c r="EC1" s="105" t="s">
        <v>307</v>
      </c>
      <c r="ED1" s="106" t="s">
        <v>308</v>
      </c>
      <c r="EE1" s="105" t="s">
        <v>309</v>
      </c>
      <c r="EF1" s="106" t="s">
        <v>310</v>
      </c>
    </row>
    <row r="2" spans="1:136">
      <c r="A2" s="112">
        <v>1154</v>
      </c>
      <c r="B2" s="142" t="s">
        <v>82</v>
      </c>
      <c r="C2" s="146">
        <v>2522920</v>
      </c>
      <c r="D2" s="147" t="s">
        <v>423</v>
      </c>
      <c r="E2" s="111">
        <v>8</v>
      </c>
      <c r="F2" s="112" t="s">
        <v>318</v>
      </c>
      <c r="G2" s="112"/>
      <c r="H2" s="112" t="s">
        <v>319</v>
      </c>
      <c r="I2" s="112"/>
      <c r="J2" s="113">
        <v>41689</v>
      </c>
      <c r="K2" s="114">
        <v>38</v>
      </c>
      <c r="L2" s="112">
        <v>13</v>
      </c>
      <c r="M2" s="113">
        <v>41030</v>
      </c>
      <c r="N2" s="112">
        <v>10</v>
      </c>
      <c r="O2" s="116">
        <v>42089</v>
      </c>
      <c r="P2" s="117">
        <v>42115</v>
      </c>
      <c r="Q2" s="117">
        <v>42369</v>
      </c>
      <c r="R2" s="118">
        <v>42516</v>
      </c>
      <c r="S2" s="118">
        <v>42824</v>
      </c>
      <c r="T2" s="118">
        <v>42985</v>
      </c>
      <c r="U2" s="118">
        <v>43151</v>
      </c>
      <c r="V2" s="118">
        <v>43342</v>
      </c>
      <c r="W2" s="118">
        <v>43517</v>
      </c>
      <c r="X2" s="118">
        <v>43698</v>
      </c>
      <c r="Y2" s="119" t="s">
        <v>424</v>
      </c>
      <c r="Z2" s="120">
        <v>42823</v>
      </c>
      <c r="AA2" s="140">
        <v>42984</v>
      </c>
      <c r="AB2" s="140">
        <v>43150</v>
      </c>
      <c r="AC2" s="140"/>
      <c r="AD2" s="140"/>
      <c r="AE2" s="140"/>
      <c r="AF2" s="140"/>
      <c r="AG2" s="140"/>
      <c r="AH2" s="185"/>
      <c r="AI2" s="143">
        <v>5</v>
      </c>
      <c r="AJ2" s="143">
        <v>6</v>
      </c>
      <c r="AK2" s="124"/>
      <c r="AL2" s="124"/>
      <c r="AM2" s="124">
        <v>24</v>
      </c>
      <c r="AN2" s="124">
        <v>29</v>
      </c>
      <c r="AO2" s="124">
        <v>35</v>
      </c>
      <c r="AP2" s="124"/>
      <c r="AQ2" s="125">
        <v>720.5</v>
      </c>
      <c r="AR2" s="186"/>
      <c r="AS2" s="187"/>
      <c r="AT2" s="187"/>
      <c r="AU2" s="125"/>
      <c r="AV2" s="125">
        <v>915.40000000000009</v>
      </c>
      <c r="AW2" s="188">
        <v>1164</v>
      </c>
      <c r="AX2" s="188">
        <v>1201.0999999999999</v>
      </c>
      <c r="AY2" s="125"/>
      <c r="AZ2" s="125">
        <v>2.1</v>
      </c>
      <c r="BA2" s="186"/>
      <c r="BB2" s="186"/>
      <c r="BC2" s="186"/>
      <c r="BD2" s="125"/>
      <c r="BE2" s="125">
        <v>3.46</v>
      </c>
      <c r="BF2" s="127">
        <v>2.6</v>
      </c>
      <c r="BG2" s="127">
        <v>2.64</v>
      </c>
      <c r="BH2" s="125"/>
      <c r="BI2" s="125">
        <v>34.619999999999997</v>
      </c>
      <c r="BJ2" s="186"/>
      <c r="BK2" s="186"/>
      <c r="BL2" s="186"/>
      <c r="BM2" s="125"/>
      <c r="BN2" s="125">
        <v>94.67</v>
      </c>
      <c r="BO2" s="127">
        <v>48.17</v>
      </c>
      <c r="BP2" s="127">
        <v>52.22</v>
      </c>
      <c r="BQ2" s="125"/>
      <c r="BR2" s="125">
        <v>1015.08</v>
      </c>
      <c r="BS2" s="186"/>
      <c r="BT2" s="186"/>
      <c r="BU2" s="186"/>
      <c r="BV2" s="125"/>
      <c r="BW2" s="125">
        <v>1113.72</v>
      </c>
      <c r="BX2" s="127">
        <v>817.8</v>
      </c>
      <c r="BY2" s="127">
        <v>515.89</v>
      </c>
      <c r="BZ2" s="125"/>
      <c r="CA2" s="9">
        <v>38</v>
      </c>
      <c r="CB2" s="7">
        <v>41689</v>
      </c>
      <c r="CC2" s="9">
        <f t="shared" ref="CC2:CC33" si="0">ROUND((CB2-Y2)/30.5,0)</f>
        <v>-13</v>
      </c>
      <c r="CD2" s="9">
        <v>29</v>
      </c>
      <c r="CE2" s="116">
        <v>42089</v>
      </c>
      <c r="CF2" s="128">
        <f t="shared" ref="CF2:CF33" si="1">ROUND((CL2-CE2)/30.5,0)</f>
        <v>4</v>
      </c>
      <c r="CG2" s="128">
        <f t="shared" ref="CG2:CG7" si="2">ROUND((CO2-CE2)/30.5,0)</f>
        <v>5</v>
      </c>
      <c r="CH2" s="39">
        <v>29</v>
      </c>
      <c r="CI2" s="40">
        <v>42089</v>
      </c>
      <c r="CJ2" s="18">
        <v>0</v>
      </c>
      <c r="CK2" s="39">
        <v>25</v>
      </c>
      <c r="CL2" s="40">
        <v>42198</v>
      </c>
      <c r="CM2" s="21">
        <v>4</v>
      </c>
      <c r="CN2" s="41">
        <v>25</v>
      </c>
      <c r="CO2" s="42">
        <v>42254</v>
      </c>
      <c r="CP2" s="23">
        <v>5</v>
      </c>
      <c r="CQ2" s="39">
        <v>21</v>
      </c>
      <c r="CR2" s="46">
        <v>42464</v>
      </c>
      <c r="CS2" s="24">
        <v>12</v>
      </c>
      <c r="CT2" s="39">
        <v>18</v>
      </c>
      <c r="CU2" s="46">
        <v>42779</v>
      </c>
      <c r="CV2" s="29">
        <v>23</v>
      </c>
      <c r="CW2" s="9">
        <v>18</v>
      </c>
      <c r="CX2" s="7">
        <v>43108</v>
      </c>
      <c r="CY2" s="9">
        <v>33</v>
      </c>
      <c r="CZ2" s="127">
        <f t="shared" ref="CZ2:CZ33" si="3">(48-CH2)/DP2</f>
        <v>0.54285714285714282</v>
      </c>
      <c r="DA2" s="127">
        <f t="shared" ref="DA2:DA33" si="4">(48-CD2)/DP2</f>
        <v>0.54285714285714282</v>
      </c>
      <c r="DB2" s="127">
        <f t="shared" ref="DB2:DB33" si="5">(CA2-CD2)/DQ2</f>
        <v>0.69230769230769229</v>
      </c>
      <c r="DC2" s="127">
        <f t="shared" ref="DC2:DC7" si="6">(CD2-MIN(CK2,CN2))/MAX(CF2,CG2)</f>
        <v>0.8</v>
      </c>
      <c r="DD2" s="127">
        <f t="shared" ref="DD2:DD33" si="7">((CH2-MIN(CA2,CH2,CK2,CN2,CQ2,CT2,CW2)))/DE2</f>
        <v>0.33333333333333331</v>
      </c>
      <c r="DE2" s="9">
        <f t="shared" ref="DE2:DE33" si="8">ROUND((MAX(CI2,CL2,CO2,CR2,CU2,CX2)-CI2)/30.5,0)</f>
        <v>33</v>
      </c>
      <c r="DF2" s="127">
        <f t="shared" ref="DF2:DF33" si="9">((CA2-MIN(CA2,CH2,CK2,CN2,CQ2,CT2,CW2)))/DG2</f>
        <v>0.42553191489361702</v>
      </c>
      <c r="DG2" s="9">
        <f t="shared" ref="DG2:DG33" si="10">ROUND((MAX(CI2,CL2,CO2,CR2,CU2,CX2)-CB2)/30.5,0)</f>
        <v>47</v>
      </c>
      <c r="DH2" s="129">
        <f t="shared" ref="DH2:DH33" si="11">DD2-DB2</f>
        <v>-0.35897435897435898</v>
      </c>
      <c r="DI2" s="144">
        <f t="shared" ref="DI2:DI7" si="12">DC2-DB2</f>
        <v>0.10769230769230775</v>
      </c>
      <c r="DJ2" s="129">
        <f t="shared" ref="DJ2:DJ33" si="13">DF2-CZ2</f>
        <v>-0.11732522796352579</v>
      </c>
      <c r="DK2" s="9"/>
      <c r="DL2" s="7"/>
      <c r="DM2" s="9"/>
      <c r="DN2" s="7"/>
      <c r="DO2" s="9">
        <f t="shared" ref="DO2:DO33" si="14">ROUND((CB2-M2)/30.5,0)</f>
        <v>22</v>
      </c>
      <c r="DP2" s="114">
        <f t="shared" ref="DP2:DP33" si="15">ROUND((CI2-M2)/30.5,0)</f>
        <v>35</v>
      </c>
      <c r="DQ2" s="114">
        <f t="shared" ref="DQ2:DQ33" si="16">ROUND((CE2-CB2)/30.5,0)</f>
        <v>13</v>
      </c>
      <c r="DR2" s="131">
        <v>1</v>
      </c>
      <c r="DS2" s="132">
        <v>8</v>
      </c>
      <c r="DT2" s="133">
        <v>9</v>
      </c>
      <c r="DU2" s="133">
        <v>5</v>
      </c>
      <c r="DV2" s="134">
        <v>14</v>
      </c>
      <c r="DW2" s="132">
        <v>10</v>
      </c>
      <c r="DX2" s="132">
        <v>24</v>
      </c>
      <c r="DY2" s="211">
        <v>5</v>
      </c>
      <c r="DZ2" s="211">
        <v>29</v>
      </c>
      <c r="EA2" s="211">
        <v>5</v>
      </c>
      <c r="EB2" s="211">
        <v>35</v>
      </c>
      <c r="EC2" s="211">
        <v>6</v>
      </c>
      <c r="ED2" s="211">
        <v>41</v>
      </c>
      <c r="EE2" s="211">
        <v>6</v>
      </c>
      <c r="EF2" s="141">
        <v>47</v>
      </c>
    </row>
    <row r="3" spans="1:136">
      <c r="A3" s="107">
        <v>2287</v>
      </c>
      <c r="B3" s="108" t="s">
        <v>311</v>
      </c>
      <c r="C3" s="109">
        <v>2721892</v>
      </c>
      <c r="D3" s="110" t="s">
        <v>315</v>
      </c>
      <c r="E3" s="111">
        <v>182</v>
      </c>
      <c r="F3" s="112" t="s">
        <v>313</v>
      </c>
      <c r="G3" s="112">
        <v>1</v>
      </c>
      <c r="H3" s="112" t="s">
        <v>314</v>
      </c>
      <c r="I3" s="112"/>
      <c r="J3" s="113">
        <v>43293</v>
      </c>
      <c r="K3" s="114">
        <v>41</v>
      </c>
      <c r="L3" s="112">
        <v>0</v>
      </c>
      <c r="M3" s="113">
        <v>42856</v>
      </c>
      <c r="N3" s="112">
        <v>9</v>
      </c>
      <c r="O3" s="137">
        <v>43321</v>
      </c>
      <c r="P3" s="5">
        <v>43347</v>
      </c>
      <c r="Q3" s="5">
        <v>43462</v>
      </c>
      <c r="R3" s="6">
        <v>43488</v>
      </c>
      <c r="S3" s="7">
        <v>43587</v>
      </c>
      <c r="T3" s="7">
        <v>43613</v>
      </c>
      <c r="U3" s="7">
        <v>43698</v>
      </c>
      <c r="V3" s="7">
        <v>43748</v>
      </c>
      <c r="W3" s="7">
        <v>43795</v>
      </c>
      <c r="X3" s="112"/>
      <c r="Y3" s="138">
        <v>43321</v>
      </c>
      <c r="Z3" s="139">
        <v>43347</v>
      </c>
      <c r="AA3" s="140">
        <v>43462</v>
      </c>
      <c r="AB3" s="140">
        <v>43488</v>
      </c>
      <c r="AC3" s="207">
        <v>43587</v>
      </c>
      <c r="AD3" s="207">
        <v>43613</v>
      </c>
      <c r="AE3" s="206">
        <v>43698</v>
      </c>
      <c r="AF3" s="207">
        <v>43748</v>
      </c>
      <c r="AG3" s="206">
        <v>43795</v>
      </c>
      <c r="AH3" s="121">
        <v>1</v>
      </c>
      <c r="AI3" s="122">
        <v>4</v>
      </c>
      <c r="AJ3" s="124">
        <v>1</v>
      </c>
      <c r="AK3" s="122">
        <v>3</v>
      </c>
      <c r="AL3" s="123">
        <v>9</v>
      </c>
      <c r="AM3" s="123">
        <v>10</v>
      </c>
      <c r="AN3" s="123">
        <v>12</v>
      </c>
      <c r="AO3" s="123">
        <v>14</v>
      </c>
      <c r="AP3" s="123">
        <v>16</v>
      </c>
      <c r="AQ3" s="125">
        <v>927.3</v>
      </c>
      <c r="AR3" s="125">
        <v>940.39</v>
      </c>
      <c r="AS3" s="126">
        <v>1353.6000000000001</v>
      </c>
      <c r="AT3" s="126">
        <v>1982.86</v>
      </c>
      <c r="AU3" s="125">
        <v>1211.4299999999998</v>
      </c>
      <c r="AV3" s="127">
        <v>1216.27</v>
      </c>
      <c r="AW3" s="127">
        <v>1135.75</v>
      </c>
      <c r="AX3" s="127">
        <v>1184.92</v>
      </c>
      <c r="AY3" s="127">
        <v>749.4</v>
      </c>
      <c r="AZ3" s="125">
        <v>2.625</v>
      </c>
      <c r="BA3" s="125">
        <v>14.6</v>
      </c>
      <c r="BB3" s="127">
        <v>7.625</v>
      </c>
      <c r="BC3" s="127">
        <v>20.274999999999999</v>
      </c>
      <c r="BD3" s="127">
        <v>6.15</v>
      </c>
      <c r="BE3" s="127">
        <v>7.8249999999999993</v>
      </c>
      <c r="BF3" s="127">
        <v>3.5249999999999999</v>
      </c>
      <c r="BG3" s="127">
        <v>3.9750000000000001</v>
      </c>
      <c r="BH3" s="127">
        <v>4.8499999999999996</v>
      </c>
      <c r="BI3" s="125">
        <v>38.51</v>
      </c>
      <c r="BJ3" s="125">
        <v>34.630000000000003</v>
      </c>
      <c r="BK3" s="127">
        <v>39.880000000000003</v>
      </c>
      <c r="BL3" s="127">
        <v>41.75</v>
      </c>
      <c r="BM3" s="127">
        <v>33.39</v>
      </c>
      <c r="BN3" s="127">
        <v>35.409999999999997</v>
      </c>
      <c r="BO3" s="127">
        <v>29.57</v>
      </c>
      <c r="BP3" s="127">
        <v>45</v>
      </c>
      <c r="BQ3" s="127">
        <v>37.86</v>
      </c>
      <c r="BR3" s="125">
        <v>1193.3</v>
      </c>
      <c r="BS3" s="125">
        <v>480.87</v>
      </c>
      <c r="BT3" s="127">
        <v>794.37</v>
      </c>
      <c r="BU3" s="127">
        <v>761.83</v>
      </c>
      <c r="BV3" s="127">
        <v>899.06</v>
      </c>
      <c r="BW3" s="127">
        <v>566.99</v>
      </c>
      <c r="BX3" s="127">
        <v>895.88</v>
      </c>
      <c r="BY3" s="127">
        <v>659.2</v>
      </c>
      <c r="BZ3" s="127">
        <v>536.16999999999996</v>
      </c>
      <c r="CA3" s="9">
        <v>41</v>
      </c>
      <c r="CB3" s="7">
        <v>43293</v>
      </c>
      <c r="CC3" s="9">
        <f t="shared" si="0"/>
        <v>-1</v>
      </c>
      <c r="CD3" s="9">
        <v>40</v>
      </c>
      <c r="CE3" s="137">
        <v>43321</v>
      </c>
      <c r="CF3" s="128">
        <f t="shared" si="1"/>
        <v>1</v>
      </c>
      <c r="CG3" s="128">
        <f t="shared" si="2"/>
        <v>5</v>
      </c>
      <c r="CH3" s="16">
        <v>40</v>
      </c>
      <c r="CI3" s="17">
        <v>43321</v>
      </c>
      <c r="CJ3" s="18">
        <v>0</v>
      </c>
      <c r="CK3" s="19">
        <v>38</v>
      </c>
      <c r="CL3" s="20">
        <v>43347</v>
      </c>
      <c r="CM3" s="21">
        <v>1</v>
      </c>
      <c r="CN3" s="19">
        <v>31</v>
      </c>
      <c r="CO3" s="22">
        <v>43462</v>
      </c>
      <c r="CP3" s="23">
        <v>5</v>
      </c>
      <c r="CQ3" s="19">
        <v>32</v>
      </c>
      <c r="CR3" s="20">
        <v>43488</v>
      </c>
      <c r="CS3" s="24">
        <v>5</v>
      </c>
      <c r="CT3" s="19">
        <v>25</v>
      </c>
      <c r="CU3" s="20">
        <v>43587</v>
      </c>
      <c r="CV3" s="29">
        <v>9</v>
      </c>
      <c r="CW3" s="30">
        <v>16</v>
      </c>
      <c r="CX3" s="31">
        <v>43698</v>
      </c>
      <c r="CY3" s="9">
        <v>12</v>
      </c>
      <c r="CZ3" s="127">
        <f t="shared" si="3"/>
        <v>0.53333333333333333</v>
      </c>
      <c r="DA3" s="127">
        <f t="shared" si="4"/>
        <v>0.53333333333333333</v>
      </c>
      <c r="DB3" s="127">
        <f t="shared" si="5"/>
        <v>1</v>
      </c>
      <c r="DC3" s="127">
        <f t="shared" si="6"/>
        <v>1.8</v>
      </c>
      <c r="DD3" s="127">
        <f t="shared" si="7"/>
        <v>2</v>
      </c>
      <c r="DE3" s="9">
        <f t="shared" si="8"/>
        <v>12</v>
      </c>
      <c r="DF3" s="127">
        <f t="shared" si="9"/>
        <v>1.9230769230769231</v>
      </c>
      <c r="DG3" s="9">
        <f t="shared" si="10"/>
        <v>13</v>
      </c>
      <c r="DH3" s="129">
        <f t="shared" si="11"/>
        <v>1</v>
      </c>
      <c r="DI3" s="130">
        <f t="shared" si="12"/>
        <v>0.8</v>
      </c>
      <c r="DJ3" s="129">
        <f t="shared" si="13"/>
        <v>1.3897435897435897</v>
      </c>
      <c r="DK3" s="9"/>
      <c r="DL3" s="7"/>
      <c r="DM3" s="9"/>
      <c r="DN3" s="7"/>
      <c r="DO3" s="9">
        <f t="shared" si="14"/>
        <v>14</v>
      </c>
      <c r="DP3" s="114">
        <f t="shared" si="15"/>
        <v>15</v>
      </c>
      <c r="DQ3" s="114">
        <f t="shared" si="16"/>
        <v>1</v>
      </c>
      <c r="DR3" s="131">
        <v>1</v>
      </c>
      <c r="DS3" s="132">
        <v>4</v>
      </c>
      <c r="DT3" s="133">
        <v>5</v>
      </c>
      <c r="DU3" s="133">
        <v>1</v>
      </c>
      <c r="DV3" s="134">
        <v>5</v>
      </c>
      <c r="DW3" s="132">
        <v>3</v>
      </c>
      <c r="DX3" s="132">
        <v>9</v>
      </c>
      <c r="DY3" s="211">
        <v>1</v>
      </c>
      <c r="DZ3" s="211">
        <v>10</v>
      </c>
      <c r="EA3" s="211">
        <v>3</v>
      </c>
      <c r="EB3" s="211">
        <v>12</v>
      </c>
      <c r="EC3" s="211">
        <v>2</v>
      </c>
      <c r="ED3" s="211">
        <v>14</v>
      </c>
      <c r="EE3" s="211">
        <v>2</v>
      </c>
      <c r="EF3" s="141">
        <v>16</v>
      </c>
    </row>
    <row r="4" spans="1:136">
      <c r="A4" s="112">
        <v>2131</v>
      </c>
      <c r="B4" s="108" t="s">
        <v>9</v>
      </c>
      <c r="C4" s="146">
        <v>2694368</v>
      </c>
      <c r="D4" s="147" t="s">
        <v>326</v>
      </c>
      <c r="E4" s="111">
        <v>154</v>
      </c>
      <c r="F4" s="112" t="s">
        <v>313</v>
      </c>
      <c r="G4" s="112">
        <v>1</v>
      </c>
      <c r="H4" s="112" t="s">
        <v>319</v>
      </c>
      <c r="I4" s="112"/>
      <c r="J4" s="113">
        <v>43068</v>
      </c>
      <c r="K4" s="114">
        <v>35</v>
      </c>
      <c r="L4" s="112">
        <v>0</v>
      </c>
      <c r="M4" s="113">
        <v>42552</v>
      </c>
      <c r="N4" s="112">
        <v>6</v>
      </c>
      <c r="O4" s="137">
        <v>43097</v>
      </c>
      <c r="P4" s="5">
        <v>43123</v>
      </c>
      <c r="Q4" s="5">
        <v>43300</v>
      </c>
      <c r="R4" s="6">
        <v>43326</v>
      </c>
      <c r="S4" s="7">
        <v>43497</v>
      </c>
      <c r="T4" s="7">
        <v>43523</v>
      </c>
      <c r="U4" s="112"/>
      <c r="V4" s="112"/>
      <c r="W4" s="112"/>
      <c r="X4" s="112"/>
      <c r="Y4" s="138" t="s">
        <v>97</v>
      </c>
      <c r="Z4" s="139" t="s">
        <v>98</v>
      </c>
      <c r="AA4" s="140">
        <v>43300</v>
      </c>
      <c r="AB4" s="205">
        <v>43326</v>
      </c>
      <c r="AC4" s="205"/>
      <c r="AD4" s="205"/>
      <c r="AE4" s="205"/>
      <c r="AF4" s="205"/>
      <c r="AG4" s="205"/>
      <c r="AH4" s="121">
        <v>1</v>
      </c>
      <c r="AI4" s="149">
        <v>6</v>
      </c>
      <c r="AJ4" s="124">
        <v>1</v>
      </c>
      <c r="AK4" s="124"/>
      <c r="AL4" s="124"/>
      <c r="AM4" s="124"/>
      <c r="AN4" s="124"/>
      <c r="AO4" s="124"/>
      <c r="AP4" s="124"/>
      <c r="AQ4" s="125">
        <v>1659.5</v>
      </c>
      <c r="AR4" s="125">
        <v>2428.1</v>
      </c>
      <c r="AS4" s="126">
        <v>1664.5</v>
      </c>
      <c r="AT4" s="126">
        <v>2113.8999999999996</v>
      </c>
      <c r="AU4" s="125"/>
      <c r="AV4" s="127"/>
      <c r="AW4" s="127"/>
      <c r="AX4" s="127"/>
      <c r="AY4" s="127"/>
      <c r="AZ4" s="125">
        <v>5.0199999999999996</v>
      </c>
      <c r="BA4" s="125">
        <v>4.1399999999999997</v>
      </c>
      <c r="BB4" s="127">
        <v>3.24</v>
      </c>
      <c r="BC4" s="127">
        <v>13.27</v>
      </c>
      <c r="BD4" s="127"/>
      <c r="BE4" s="127"/>
      <c r="BF4" s="127"/>
      <c r="BG4" s="127"/>
      <c r="BH4" s="127"/>
      <c r="BI4" s="125">
        <v>68.510000000000005</v>
      </c>
      <c r="BJ4" s="125">
        <v>45.89</v>
      </c>
      <c r="BK4" s="127">
        <v>79.08</v>
      </c>
      <c r="BL4" s="127">
        <v>36.65</v>
      </c>
      <c r="BM4" s="127"/>
      <c r="BN4" s="127"/>
      <c r="BO4" s="127"/>
      <c r="BP4" s="127"/>
      <c r="BQ4" s="127"/>
      <c r="BR4" s="125">
        <v>1257.49</v>
      </c>
      <c r="BS4" s="125">
        <v>1119.47</v>
      </c>
      <c r="BT4" s="127">
        <v>1159.5899999999999</v>
      </c>
      <c r="BU4" s="127">
        <v>1154</v>
      </c>
      <c r="BV4" s="127"/>
      <c r="BW4" s="127"/>
      <c r="BX4" s="127"/>
      <c r="BY4" s="127"/>
      <c r="BZ4" s="127"/>
      <c r="CA4" s="9">
        <v>35</v>
      </c>
      <c r="CB4" s="7">
        <v>43068</v>
      </c>
      <c r="CC4" s="9">
        <f t="shared" si="0"/>
        <v>-1</v>
      </c>
      <c r="CD4" s="9">
        <v>32</v>
      </c>
      <c r="CE4" s="137">
        <v>43097</v>
      </c>
      <c r="CF4" s="128">
        <f t="shared" si="1"/>
        <v>5</v>
      </c>
      <c r="CG4" s="128">
        <f t="shared" si="2"/>
        <v>12</v>
      </c>
      <c r="CH4" s="39">
        <v>32</v>
      </c>
      <c r="CI4" s="40">
        <v>43097</v>
      </c>
      <c r="CJ4" s="18">
        <v>0</v>
      </c>
      <c r="CK4" s="41">
        <v>29</v>
      </c>
      <c r="CL4" s="42">
        <v>43258</v>
      </c>
      <c r="CM4" s="23">
        <v>5</v>
      </c>
      <c r="CN4" s="39">
        <v>22</v>
      </c>
      <c r="CO4" s="46">
        <v>43469</v>
      </c>
      <c r="CP4" s="24">
        <v>12</v>
      </c>
      <c r="CQ4" s="208"/>
      <c r="CR4" s="34"/>
      <c r="CS4" s="36"/>
      <c r="CT4" s="8"/>
      <c r="CU4" s="6"/>
      <c r="CV4" s="9"/>
      <c r="CW4" s="27"/>
      <c r="CX4" s="27"/>
      <c r="CY4" s="28"/>
      <c r="CZ4" s="127">
        <f t="shared" si="3"/>
        <v>0.88888888888888884</v>
      </c>
      <c r="DA4" s="127">
        <f t="shared" si="4"/>
        <v>0.88888888888888884</v>
      </c>
      <c r="DB4" s="127">
        <f t="shared" si="5"/>
        <v>3</v>
      </c>
      <c r="DC4" s="127">
        <f t="shared" si="6"/>
        <v>0.83333333333333337</v>
      </c>
      <c r="DD4" s="127">
        <f t="shared" si="7"/>
        <v>0.83333333333333337</v>
      </c>
      <c r="DE4" s="9">
        <f t="shared" si="8"/>
        <v>12</v>
      </c>
      <c r="DF4" s="127">
        <f t="shared" si="9"/>
        <v>1</v>
      </c>
      <c r="DG4" s="9">
        <f t="shared" si="10"/>
        <v>13</v>
      </c>
      <c r="DH4" s="129">
        <f t="shared" si="11"/>
        <v>-2.1666666666666665</v>
      </c>
      <c r="DI4" s="152">
        <f t="shared" si="12"/>
        <v>-2.1666666666666665</v>
      </c>
      <c r="DJ4" s="129">
        <f t="shared" si="13"/>
        <v>0.11111111111111116</v>
      </c>
      <c r="DK4" s="9"/>
      <c r="DL4" s="7"/>
      <c r="DM4" s="9"/>
      <c r="DN4" s="7"/>
      <c r="DO4" s="9">
        <f t="shared" si="14"/>
        <v>17</v>
      </c>
      <c r="DP4" s="114">
        <f t="shared" si="15"/>
        <v>18</v>
      </c>
      <c r="DQ4" s="114">
        <f t="shared" si="16"/>
        <v>1</v>
      </c>
      <c r="DR4" s="131">
        <v>1</v>
      </c>
      <c r="DS4" s="132">
        <v>6</v>
      </c>
      <c r="DT4" s="133">
        <v>7</v>
      </c>
      <c r="DU4" s="133">
        <v>1</v>
      </c>
      <c r="DV4" s="134">
        <v>8</v>
      </c>
      <c r="DW4" s="132">
        <v>6</v>
      </c>
      <c r="DX4" s="132">
        <v>13</v>
      </c>
      <c r="DY4" s="211">
        <v>1</v>
      </c>
      <c r="DZ4" s="211">
        <v>14</v>
      </c>
      <c r="EA4" s="145"/>
      <c r="EB4" s="145"/>
      <c r="EC4" s="145"/>
      <c r="ED4" s="145"/>
      <c r="EE4" s="145"/>
      <c r="EF4" s="136"/>
    </row>
    <row r="5" spans="1:136">
      <c r="A5" s="107">
        <v>2081</v>
      </c>
      <c r="B5" s="142" t="s">
        <v>1</v>
      </c>
      <c r="C5" s="109">
        <v>2687270</v>
      </c>
      <c r="D5" s="107" t="s">
        <v>316</v>
      </c>
      <c r="E5" s="111">
        <v>145</v>
      </c>
      <c r="F5" s="112" t="s">
        <v>313</v>
      </c>
      <c r="G5" s="112">
        <v>1</v>
      </c>
      <c r="H5" s="112" t="s">
        <v>314</v>
      </c>
      <c r="I5" s="112"/>
      <c r="J5" s="113">
        <v>43006</v>
      </c>
      <c r="K5" s="114">
        <v>32</v>
      </c>
      <c r="L5" s="112">
        <v>0</v>
      </c>
      <c r="M5" s="113">
        <v>41974</v>
      </c>
      <c r="N5" s="112">
        <v>6</v>
      </c>
      <c r="O5" s="137">
        <v>43035</v>
      </c>
      <c r="P5" s="5">
        <v>43061</v>
      </c>
      <c r="Q5" s="5">
        <v>43517</v>
      </c>
      <c r="R5" s="6">
        <v>43543</v>
      </c>
      <c r="S5" s="7">
        <v>43781</v>
      </c>
      <c r="T5" s="7">
        <v>43872</v>
      </c>
      <c r="U5" s="112"/>
      <c r="V5" s="112"/>
      <c r="W5" s="112"/>
      <c r="X5" s="112"/>
      <c r="Y5" s="138">
        <v>43035</v>
      </c>
      <c r="Z5" s="139">
        <v>43061</v>
      </c>
      <c r="AA5" s="7">
        <v>43517</v>
      </c>
      <c r="AB5" s="7">
        <v>43543</v>
      </c>
      <c r="AC5" s="206">
        <v>43781</v>
      </c>
      <c r="AD5" s="7"/>
      <c r="AE5" s="7"/>
      <c r="AF5" s="7"/>
      <c r="AG5" s="7"/>
      <c r="AH5" s="121">
        <v>1</v>
      </c>
      <c r="AI5" s="143">
        <v>15</v>
      </c>
      <c r="AJ5" s="124">
        <v>1</v>
      </c>
      <c r="AK5" s="143">
        <v>7</v>
      </c>
      <c r="AL5" s="124">
        <v>24</v>
      </c>
      <c r="AM5" s="124"/>
      <c r="AN5" s="124"/>
      <c r="AO5" s="124"/>
      <c r="AP5" s="124"/>
      <c r="AQ5" s="125">
        <v>946.59999999999991</v>
      </c>
      <c r="AR5" s="150">
        <v>2068.3000000000002</v>
      </c>
      <c r="AS5" s="126">
        <v>833.1</v>
      </c>
      <c r="AT5" s="126">
        <v>1014.7</v>
      </c>
      <c r="AU5" s="125">
        <v>758.6</v>
      </c>
      <c r="AV5" s="127"/>
      <c r="AW5" s="151"/>
      <c r="AX5" s="151"/>
      <c r="AY5" s="127"/>
      <c r="AZ5" s="125">
        <v>3.95</v>
      </c>
      <c r="BA5" s="150">
        <v>4.8499999999999996</v>
      </c>
      <c r="BB5" s="151">
        <v>2.125</v>
      </c>
      <c r="BC5" s="151">
        <v>6.15</v>
      </c>
      <c r="BD5" s="127">
        <v>2.125</v>
      </c>
      <c r="BE5" s="127"/>
      <c r="BF5" s="127"/>
      <c r="BG5" s="127"/>
      <c r="BH5" s="127"/>
      <c r="BI5" s="125">
        <v>39.04</v>
      </c>
      <c r="BJ5" s="150">
        <v>38.4</v>
      </c>
      <c r="BK5" s="151">
        <v>33.93</v>
      </c>
      <c r="BL5" s="151">
        <v>26.25</v>
      </c>
      <c r="BM5" s="127">
        <v>24.45</v>
      </c>
      <c r="BN5" s="127"/>
      <c r="BO5" s="127"/>
      <c r="BP5" s="127"/>
      <c r="BQ5" s="127"/>
      <c r="BR5" s="125">
        <v>932.62</v>
      </c>
      <c r="BS5" s="150">
        <v>608.23</v>
      </c>
      <c r="BT5" s="151">
        <v>716.14</v>
      </c>
      <c r="BU5" s="151">
        <v>272.51</v>
      </c>
      <c r="BV5" s="127">
        <v>278.89999999999998</v>
      </c>
      <c r="BW5" s="127"/>
      <c r="BX5" s="127"/>
      <c r="BY5" s="127"/>
      <c r="BZ5" s="127"/>
      <c r="CA5" s="9">
        <v>32</v>
      </c>
      <c r="CB5" s="7">
        <v>43006</v>
      </c>
      <c r="CC5" s="9">
        <f t="shared" si="0"/>
        <v>-1</v>
      </c>
      <c r="CD5" s="9">
        <v>31</v>
      </c>
      <c r="CE5" s="137">
        <v>43035</v>
      </c>
      <c r="CF5" s="128">
        <f t="shared" si="1"/>
        <v>1</v>
      </c>
      <c r="CG5" s="128">
        <f t="shared" si="2"/>
        <v>6</v>
      </c>
      <c r="CH5" s="32">
        <v>31</v>
      </c>
      <c r="CI5" s="33">
        <v>43035</v>
      </c>
      <c r="CJ5" s="18">
        <v>0</v>
      </c>
      <c r="CK5" s="19">
        <v>31</v>
      </c>
      <c r="CL5" s="20">
        <v>43061</v>
      </c>
      <c r="CM5" s="21">
        <v>1</v>
      </c>
      <c r="CN5" s="34">
        <v>24</v>
      </c>
      <c r="CO5" s="35">
        <v>43221</v>
      </c>
      <c r="CP5" s="36"/>
      <c r="CQ5" s="209">
        <v>24</v>
      </c>
      <c r="CR5" s="210">
        <v>43517</v>
      </c>
      <c r="CS5" s="49">
        <v>16</v>
      </c>
      <c r="CT5" s="19">
        <v>24</v>
      </c>
      <c r="CU5" s="20">
        <v>43543</v>
      </c>
      <c r="CV5" s="29">
        <v>17</v>
      </c>
      <c r="CW5" s="37">
        <v>21</v>
      </c>
      <c r="CX5" s="38">
        <v>43781</v>
      </c>
      <c r="CY5" s="29">
        <v>24</v>
      </c>
      <c r="CZ5" s="127">
        <f t="shared" si="3"/>
        <v>0.48571428571428571</v>
      </c>
      <c r="DA5" s="127">
        <f t="shared" si="4"/>
        <v>0.48571428571428571</v>
      </c>
      <c r="DB5" s="127">
        <f t="shared" si="5"/>
        <v>1</v>
      </c>
      <c r="DC5" s="127">
        <f t="shared" si="6"/>
        <v>1.1666666666666667</v>
      </c>
      <c r="DD5" s="127">
        <f t="shared" si="7"/>
        <v>0.41666666666666669</v>
      </c>
      <c r="DE5" s="9">
        <f t="shared" si="8"/>
        <v>24</v>
      </c>
      <c r="DF5" s="127">
        <f t="shared" si="9"/>
        <v>0.44</v>
      </c>
      <c r="DG5" s="9">
        <f t="shared" si="10"/>
        <v>25</v>
      </c>
      <c r="DH5" s="129">
        <f t="shared" si="11"/>
        <v>-0.58333333333333326</v>
      </c>
      <c r="DI5" s="144">
        <f t="shared" si="12"/>
        <v>0.16666666666666674</v>
      </c>
      <c r="DJ5" s="129">
        <f t="shared" si="13"/>
        <v>-4.5714285714285707E-2</v>
      </c>
      <c r="DK5" s="9"/>
      <c r="DL5" s="7"/>
      <c r="DM5" s="9"/>
      <c r="DN5" s="7"/>
      <c r="DO5" s="9">
        <f t="shared" si="14"/>
        <v>34</v>
      </c>
      <c r="DP5" s="114">
        <f t="shared" si="15"/>
        <v>35</v>
      </c>
      <c r="DQ5" s="114">
        <f t="shared" si="16"/>
        <v>1</v>
      </c>
      <c r="DR5" s="131">
        <v>1</v>
      </c>
      <c r="DS5" s="132">
        <v>15</v>
      </c>
      <c r="DT5" s="133">
        <v>16</v>
      </c>
      <c r="DU5" s="133">
        <v>1</v>
      </c>
      <c r="DV5" s="134">
        <v>17</v>
      </c>
      <c r="DW5" s="132">
        <v>8</v>
      </c>
      <c r="DX5" s="132">
        <v>24</v>
      </c>
      <c r="DY5" s="211">
        <v>3</v>
      </c>
      <c r="DZ5" s="211">
        <v>27</v>
      </c>
      <c r="EA5" s="145"/>
      <c r="EB5" s="145"/>
      <c r="EC5" s="145"/>
      <c r="ED5" s="145"/>
      <c r="EE5" s="145"/>
      <c r="EF5" s="136"/>
    </row>
    <row r="6" spans="1:136">
      <c r="A6" s="107">
        <v>2484</v>
      </c>
      <c r="B6" s="108" t="s">
        <v>311</v>
      </c>
      <c r="C6" s="109">
        <v>2749004</v>
      </c>
      <c r="D6" s="110" t="s">
        <v>312</v>
      </c>
      <c r="E6" s="111">
        <v>213</v>
      </c>
      <c r="F6" s="112" t="s">
        <v>313</v>
      </c>
      <c r="G6" s="112">
        <v>1</v>
      </c>
      <c r="H6" s="112" t="s">
        <v>314</v>
      </c>
      <c r="I6" s="112"/>
      <c r="J6" s="113">
        <v>43539</v>
      </c>
      <c r="K6" s="114">
        <v>45</v>
      </c>
      <c r="L6" s="115">
        <v>0</v>
      </c>
      <c r="M6" s="113">
        <v>43160</v>
      </c>
      <c r="N6" s="112">
        <v>6</v>
      </c>
      <c r="O6" s="137">
        <v>43567</v>
      </c>
      <c r="P6" s="5">
        <v>43593</v>
      </c>
      <c r="Q6" s="5">
        <v>43705</v>
      </c>
      <c r="R6" s="7">
        <v>43754</v>
      </c>
      <c r="S6" s="7">
        <v>43816</v>
      </c>
      <c r="T6" s="7">
        <v>43882</v>
      </c>
      <c r="U6" s="112"/>
      <c r="V6" s="112"/>
      <c r="W6" s="112"/>
      <c r="X6" s="112"/>
      <c r="Y6" s="138">
        <v>43567</v>
      </c>
      <c r="Z6" s="139">
        <v>43593</v>
      </c>
      <c r="AA6" s="7">
        <v>43705</v>
      </c>
      <c r="AB6" s="7">
        <v>43754</v>
      </c>
      <c r="AC6" s="206">
        <v>43816</v>
      </c>
      <c r="AD6" s="206">
        <v>43882</v>
      </c>
      <c r="AE6" s="7"/>
      <c r="AF6" s="7"/>
      <c r="AG6" s="7"/>
      <c r="AH6" s="121">
        <v>1</v>
      </c>
      <c r="AI6" s="122">
        <v>4</v>
      </c>
      <c r="AJ6" s="121">
        <v>1</v>
      </c>
      <c r="AK6" s="122">
        <v>2</v>
      </c>
      <c r="AL6" s="123">
        <v>8</v>
      </c>
      <c r="AM6" s="123">
        <v>10</v>
      </c>
      <c r="AN6" s="124"/>
      <c r="AO6" s="124"/>
      <c r="AP6" s="124"/>
      <c r="AQ6" s="125">
        <v>1443.7</v>
      </c>
      <c r="AR6" s="125">
        <v>2281.3999999999996</v>
      </c>
      <c r="AS6" s="126">
        <v>2042.5</v>
      </c>
      <c r="AT6" s="126">
        <v>2108.1999999999998</v>
      </c>
      <c r="AU6" s="125">
        <v>1755.1</v>
      </c>
      <c r="AV6" s="127"/>
      <c r="AW6" s="127"/>
      <c r="AX6" s="127"/>
      <c r="AY6" s="127"/>
      <c r="AZ6" s="125">
        <v>4.4249999999999998</v>
      </c>
      <c r="BA6" s="125">
        <v>6.15</v>
      </c>
      <c r="BB6" s="127">
        <v>5.0749999999999993</v>
      </c>
      <c r="BC6" s="127">
        <v>4</v>
      </c>
      <c r="BD6" s="127">
        <v>3.3000000000000003</v>
      </c>
      <c r="BE6" s="127"/>
      <c r="BF6" s="127"/>
      <c r="BG6" s="127"/>
      <c r="BH6" s="127"/>
      <c r="BI6" s="125">
        <v>74.38</v>
      </c>
      <c r="BJ6" s="125">
        <v>96.68</v>
      </c>
      <c r="BK6" s="127">
        <v>65.260000000000005</v>
      </c>
      <c r="BL6" s="127">
        <v>56.6</v>
      </c>
      <c r="BM6" s="127">
        <v>79.180000000000007</v>
      </c>
      <c r="BN6" s="127"/>
      <c r="BO6" s="127"/>
      <c r="BP6" s="127"/>
      <c r="BQ6" s="127"/>
      <c r="BR6" s="125">
        <v>1677.28</v>
      </c>
      <c r="BS6" s="125">
        <v>774.22</v>
      </c>
      <c r="BT6" s="127">
        <v>1414.47</v>
      </c>
      <c r="BU6" s="127">
        <v>1270.51</v>
      </c>
      <c r="BV6" s="127">
        <v>539.66999999999996</v>
      </c>
      <c r="BW6" s="127"/>
      <c r="BX6" s="127"/>
      <c r="BY6" s="127"/>
      <c r="BZ6" s="127"/>
      <c r="CA6" s="9">
        <v>45</v>
      </c>
      <c r="CB6" s="7">
        <v>43539</v>
      </c>
      <c r="CC6" s="9">
        <f t="shared" si="0"/>
        <v>-1</v>
      </c>
      <c r="CD6" s="9">
        <v>45</v>
      </c>
      <c r="CE6" s="137">
        <v>43567</v>
      </c>
      <c r="CF6" s="128">
        <f t="shared" si="1"/>
        <v>1</v>
      </c>
      <c r="CG6" s="128">
        <f t="shared" si="2"/>
        <v>5</v>
      </c>
      <c r="CH6" s="16">
        <v>45</v>
      </c>
      <c r="CI6" s="17">
        <v>43567</v>
      </c>
      <c r="CJ6" s="18">
        <v>0</v>
      </c>
      <c r="CK6" s="19">
        <v>45</v>
      </c>
      <c r="CL6" s="20">
        <v>43593</v>
      </c>
      <c r="CM6" s="21">
        <v>1</v>
      </c>
      <c r="CN6" s="19">
        <v>43</v>
      </c>
      <c r="CO6" s="22">
        <v>43705</v>
      </c>
      <c r="CP6" s="23">
        <v>5</v>
      </c>
      <c r="CQ6" s="19">
        <v>40</v>
      </c>
      <c r="CR6" s="20">
        <v>43816</v>
      </c>
      <c r="CS6" s="24">
        <v>8</v>
      </c>
      <c r="CT6" s="25">
        <v>39</v>
      </c>
      <c r="CU6" s="26">
        <v>43882</v>
      </c>
      <c r="CV6" s="9">
        <v>10</v>
      </c>
      <c r="CW6" s="27"/>
      <c r="CX6" s="27"/>
      <c r="CY6" s="28"/>
      <c r="CZ6" s="127">
        <f t="shared" si="3"/>
        <v>0.23076923076923078</v>
      </c>
      <c r="DA6" s="127">
        <f t="shared" si="4"/>
        <v>0.23076923076923078</v>
      </c>
      <c r="DB6" s="127">
        <f t="shared" si="5"/>
        <v>0</v>
      </c>
      <c r="DC6" s="127">
        <f t="shared" si="6"/>
        <v>0.4</v>
      </c>
      <c r="DD6" s="127">
        <f t="shared" si="7"/>
        <v>0.6</v>
      </c>
      <c r="DE6" s="9">
        <f t="shared" si="8"/>
        <v>10</v>
      </c>
      <c r="DF6" s="127">
        <f t="shared" si="9"/>
        <v>0.54545454545454541</v>
      </c>
      <c r="DG6" s="9">
        <f t="shared" si="10"/>
        <v>11</v>
      </c>
      <c r="DH6" s="129">
        <f t="shared" si="11"/>
        <v>0.6</v>
      </c>
      <c r="DI6" s="130">
        <f t="shared" si="12"/>
        <v>0.4</v>
      </c>
      <c r="DJ6" s="129">
        <f t="shared" si="13"/>
        <v>0.31468531468531463</v>
      </c>
      <c r="DK6" s="9"/>
      <c r="DL6" s="7"/>
      <c r="DM6" s="9"/>
      <c r="DN6" s="7"/>
      <c r="DO6" s="9">
        <f t="shared" si="14"/>
        <v>12</v>
      </c>
      <c r="DP6" s="114">
        <f t="shared" si="15"/>
        <v>13</v>
      </c>
      <c r="DQ6" s="114">
        <f t="shared" si="16"/>
        <v>1</v>
      </c>
      <c r="DR6" s="131">
        <v>1</v>
      </c>
      <c r="DS6" s="132">
        <v>4</v>
      </c>
      <c r="DT6" s="133">
        <v>5</v>
      </c>
      <c r="DU6" s="133">
        <v>2</v>
      </c>
      <c r="DV6" s="134">
        <v>6</v>
      </c>
      <c r="DW6" s="132">
        <v>2</v>
      </c>
      <c r="DX6" s="132">
        <v>8</v>
      </c>
      <c r="DY6" s="211">
        <v>2</v>
      </c>
      <c r="DZ6" s="211">
        <v>10</v>
      </c>
      <c r="EA6" s="145"/>
      <c r="EB6" s="145"/>
      <c r="EC6" s="145"/>
      <c r="ED6" s="145"/>
      <c r="EE6" s="145"/>
      <c r="EF6" s="136"/>
    </row>
    <row r="7" spans="1:136">
      <c r="A7" s="112">
        <v>1265</v>
      </c>
      <c r="B7" s="153" t="s">
        <v>5</v>
      </c>
      <c r="C7" s="146">
        <v>2546068</v>
      </c>
      <c r="D7" s="147" t="s">
        <v>322</v>
      </c>
      <c r="E7" s="111">
        <v>21</v>
      </c>
      <c r="F7" s="112" t="s">
        <v>318</v>
      </c>
      <c r="G7" s="112"/>
      <c r="H7" s="112" t="s">
        <v>319</v>
      </c>
      <c r="I7" s="112"/>
      <c r="J7" s="113">
        <v>41858</v>
      </c>
      <c r="K7" s="114">
        <v>41</v>
      </c>
      <c r="L7" s="112">
        <v>8</v>
      </c>
      <c r="M7" s="113">
        <v>41548</v>
      </c>
      <c r="N7" s="112">
        <v>4</v>
      </c>
      <c r="O7" s="137">
        <v>42111</v>
      </c>
      <c r="P7" s="5">
        <v>42137</v>
      </c>
      <c r="Q7" s="5">
        <v>42454</v>
      </c>
      <c r="R7" s="6">
        <v>42480</v>
      </c>
      <c r="S7" s="112"/>
      <c r="T7" s="112"/>
      <c r="U7" s="112"/>
      <c r="V7" s="112"/>
      <c r="W7" s="112"/>
      <c r="X7" s="112"/>
      <c r="Y7" s="138" t="s">
        <v>89</v>
      </c>
      <c r="Z7" s="139" t="s">
        <v>90</v>
      </c>
      <c r="AA7" s="7">
        <v>42454</v>
      </c>
      <c r="AB7" s="7">
        <v>42480</v>
      </c>
      <c r="AC7" s="7"/>
      <c r="AD7" s="7"/>
      <c r="AE7" s="7"/>
      <c r="AF7" s="7"/>
      <c r="AG7" s="7"/>
      <c r="AH7" s="121">
        <v>1</v>
      </c>
      <c r="AI7" s="149">
        <v>10</v>
      </c>
      <c r="AJ7" s="124">
        <v>1</v>
      </c>
      <c r="AK7" s="124"/>
      <c r="AL7" s="124"/>
      <c r="AM7" s="124"/>
      <c r="AN7" s="124"/>
      <c r="AO7" s="124"/>
      <c r="AP7" s="124"/>
      <c r="AQ7" s="125">
        <v>943.7</v>
      </c>
      <c r="AR7" s="125">
        <v>2024.1</v>
      </c>
      <c r="AS7" s="126">
        <v>1299.1999999999998</v>
      </c>
      <c r="AT7" s="126">
        <v>1700.3</v>
      </c>
      <c r="AU7" s="125"/>
      <c r="AV7" s="127"/>
      <c r="AW7" s="127"/>
      <c r="AX7" s="127"/>
      <c r="AY7" s="127"/>
      <c r="AZ7" s="125">
        <v>1.04</v>
      </c>
      <c r="BA7" s="125">
        <v>1.33</v>
      </c>
      <c r="BB7" s="127">
        <v>0.56000000000000005</v>
      </c>
      <c r="BC7" s="127">
        <v>0.66</v>
      </c>
      <c r="BD7" s="127"/>
      <c r="BE7" s="127"/>
      <c r="BF7" s="127"/>
      <c r="BG7" s="127"/>
      <c r="BH7" s="127"/>
      <c r="BI7" s="125">
        <v>30.84</v>
      </c>
      <c r="BJ7" s="125">
        <v>55.06</v>
      </c>
      <c r="BK7" s="127">
        <v>25.92</v>
      </c>
      <c r="BL7" s="127">
        <v>26.06</v>
      </c>
      <c r="BM7" s="127"/>
      <c r="BN7" s="127"/>
      <c r="BO7" s="127"/>
      <c r="BP7" s="127"/>
      <c r="BQ7" s="127"/>
      <c r="BR7" s="125">
        <v>864.32399999999996</v>
      </c>
      <c r="BS7" s="125">
        <v>670.89</v>
      </c>
      <c r="BT7" s="127">
        <v>590.99400000000003</v>
      </c>
      <c r="BU7" s="127">
        <v>632.66399999999999</v>
      </c>
      <c r="BV7" s="127"/>
      <c r="BW7" s="127"/>
      <c r="BX7" s="127"/>
      <c r="BY7" s="127"/>
      <c r="BZ7" s="127"/>
      <c r="CA7" s="9">
        <v>41</v>
      </c>
      <c r="CB7" s="7">
        <v>41858</v>
      </c>
      <c r="CC7" s="9">
        <f t="shared" si="0"/>
        <v>-8</v>
      </c>
      <c r="CD7" s="9">
        <v>34</v>
      </c>
      <c r="CE7" s="137">
        <v>42111</v>
      </c>
      <c r="CF7" s="128">
        <f t="shared" si="1"/>
        <v>4</v>
      </c>
      <c r="CG7" s="128">
        <f t="shared" si="2"/>
        <v>8</v>
      </c>
      <c r="CH7" s="39">
        <v>34</v>
      </c>
      <c r="CI7" s="40">
        <v>42111</v>
      </c>
      <c r="CJ7" s="18">
        <v>0</v>
      </c>
      <c r="CK7" s="39">
        <v>33</v>
      </c>
      <c r="CL7" s="40">
        <v>42240</v>
      </c>
      <c r="CM7" s="21">
        <v>4</v>
      </c>
      <c r="CN7" s="47">
        <v>33</v>
      </c>
      <c r="CO7" s="48">
        <v>42359</v>
      </c>
      <c r="CP7" s="49">
        <v>8</v>
      </c>
      <c r="CQ7" s="39">
        <v>31</v>
      </c>
      <c r="CR7" s="46">
        <v>42478</v>
      </c>
      <c r="CS7" s="24">
        <v>12</v>
      </c>
      <c r="CT7" s="39">
        <v>19</v>
      </c>
      <c r="CU7" s="46">
        <v>42814</v>
      </c>
      <c r="CV7" s="24">
        <v>23</v>
      </c>
      <c r="CW7" s="8">
        <v>9</v>
      </c>
      <c r="CX7" s="6">
        <v>43145</v>
      </c>
      <c r="CY7" s="9">
        <v>34</v>
      </c>
      <c r="CZ7" s="127">
        <f t="shared" si="3"/>
        <v>0.77777777777777779</v>
      </c>
      <c r="DA7" s="127">
        <f t="shared" si="4"/>
        <v>0.77777777777777779</v>
      </c>
      <c r="DB7" s="127">
        <f t="shared" si="5"/>
        <v>0.875</v>
      </c>
      <c r="DC7" s="127">
        <f t="shared" si="6"/>
        <v>0.125</v>
      </c>
      <c r="DD7" s="127">
        <f t="shared" si="7"/>
        <v>0.73529411764705888</v>
      </c>
      <c r="DE7" s="9">
        <f t="shared" si="8"/>
        <v>34</v>
      </c>
      <c r="DF7" s="127">
        <f t="shared" si="9"/>
        <v>0.76190476190476186</v>
      </c>
      <c r="DG7" s="9">
        <f t="shared" si="10"/>
        <v>42</v>
      </c>
      <c r="DH7" s="129">
        <f t="shared" si="11"/>
        <v>-0.13970588235294112</v>
      </c>
      <c r="DI7" s="152">
        <f t="shared" si="12"/>
        <v>-0.75</v>
      </c>
      <c r="DJ7" s="129">
        <f t="shared" si="13"/>
        <v>-1.5873015873015928E-2</v>
      </c>
      <c r="DK7" s="9"/>
      <c r="DL7" s="7"/>
      <c r="DM7" s="9"/>
      <c r="DN7" s="7"/>
      <c r="DO7" s="9">
        <f t="shared" si="14"/>
        <v>10</v>
      </c>
      <c r="DP7" s="114">
        <f t="shared" si="15"/>
        <v>18</v>
      </c>
      <c r="DQ7" s="114">
        <f t="shared" si="16"/>
        <v>8</v>
      </c>
      <c r="DR7" s="131">
        <v>1</v>
      </c>
      <c r="DS7" s="132">
        <v>10</v>
      </c>
      <c r="DT7" s="133">
        <v>11</v>
      </c>
      <c r="DU7" s="133">
        <v>1</v>
      </c>
      <c r="DV7" s="134">
        <v>12</v>
      </c>
      <c r="DW7" s="145"/>
      <c r="DX7" s="145"/>
      <c r="DY7" s="145"/>
      <c r="DZ7" s="145"/>
      <c r="EA7" s="145"/>
      <c r="EB7" s="145"/>
      <c r="EC7" s="145"/>
      <c r="ED7" s="145"/>
      <c r="EE7" s="145"/>
      <c r="EF7" s="136"/>
    </row>
    <row r="8" spans="1:136">
      <c r="A8" s="112">
        <v>1270</v>
      </c>
      <c r="B8" s="108" t="s">
        <v>7</v>
      </c>
      <c r="C8" s="146">
        <v>2546114</v>
      </c>
      <c r="D8" s="147" t="s">
        <v>324</v>
      </c>
      <c r="E8" s="111">
        <v>38</v>
      </c>
      <c r="F8" s="112" t="s">
        <v>318</v>
      </c>
      <c r="G8" s="112"/>
      <c r="H8" s="112" t="s">
        <v>319</v>
      </c>
      <c r="I8" s="112"/>
      <c r="J8" s="113">
        <v>41858</v>
      </c>
      <c r="K8" s="114">
        <v>43</v>
      </c>
      <c r="L8" s="112">
        <v>9</v>
      </c>
      <c r="M8" s="113">
        <v>41244</v>
      </c>
      <c r="N8" s="112">
        <v>4</v>
      </c>
      <c r="O8" s="137">
        <v>42159</v>
      </c>
      <c r="P8" s="5">
        <v>42185</v>
      </c>
      <c r="Q8" s="5">
        <v>42481</v>
      </c>
      <c r="R8" s="6">
        <v>42507</v>
      </c>
      <c r="S8" s="112"/>
      <c r="T8" s="112"/>
      <c r="U8" s="112"/>
      <c r="V8" s="112"/>
      <c r="W8" s="112"/>
      <c r="X8" s="112"/>
      <c r="Y8" s="138" t="s">
        <v>93</v>
      </c>
      <c r="Z8" s="139" t="s">
        <v>94</v>
      </c>
      <c r="AA8" s="7">
        <v>42481</v>
      </c>
      <c r="AB8" s="7">
        <v>42507</v>
      </c>
      <c r="AC8" s="7"/>
      <c r="AD8" s="7"/>
      <c r="AE8" s="7"/>
      <c r="AF8" s="7"/>
      <c r="AG8" s="7"/>
      <c r="AH8" s="121">
        <v>1</v>
      </c>
      <c r="AI8" s="149">
        <v>10</v>
      </c>
      <c r="AJ8" s="121">
        <v>1</v>
      </c>
      <c r="AK8" s="121"/>
      <c r="AL8" s="121"/>
      <c r="AM8" s="121"/>
      <c r="AN8" s="121"/>
      <c r="AO8" s="121"/>
      <c r="AP8" s="121"/>
      <c r="AQ8" s="125">
        <v>1618</v>
      </c>
      <c r="AR8" s="125">
        <v>1362.1000000000001</v>
      </c>
      <c r="AS8" s="126">
        <v>1312.1000000000001</v>
      </c>
      <c r="AT8" s="126">
        <v>1819.6000000000001</v>
      </c>
      <c r="AU8" s="127"/>
      <c r="AV8" s="127"/>
      <c r="AW8" s="127"/>
      <c r="AX8" s="127"/>
      <c r="AY8" s="127"/>
      <c r="AZ8" s="125">
        <v>1.63</v>
      </c>
      <c r="BA8" s="125">
        <v>1.43</v>
      </c>
      <c r="BB8" s="127">
        <v>1.33</v>
      </c>
      <c r="BC8" s="127">
        <v>2.39</v>
      </c>
      <c r="BD8" s="127"/>
      <c r="BE8" s="127"/>
      <c r="BF8" s="127"/>
      <c r="BG8" s="127"/>
      <c r="BH8" s="127"/>
      <c r="BI8" s="125">
        <v>43.01</v>
      </c>
      <c r="BJ8" s="125">
        <v>35.18</v>
      </c>
      <c r="BK8" s="127">
        <v>50.32</v>
      </c>
      <c r="BL8" s="127">
        <v>45.97</v>
      </c>
      <c r="BM8" s="127"/>
      <c r="BN8" s="127"/>
      <c r="BO8" s="127"/>
      <c r="BP8" s="127"/>
      <c r="BQ8" s="127"/>
      <c r="BR8" s="125">
        <v>650.28</v>
      </c>
      <c r="BS8" s="125">
        <v>529.62599999999998</v>
      </c>
      <c r="BT8" s="127">
        <v>892.24799999999993</v>
      </c>
      <c r="BU8" s="127">
        <v>556.01400000000001</v>
      </c>
      <c r="BV8" s="127"/>
      <c r="BW8" s="127"/>
      <c r="BX8" s="127"/>
      <c r="BY8" s="127"/>
      <c r="BZ8" s="127"/>
      <c r="CA8" s="9">
        <v>43</v>
      </c>
      <c r="CB8" s="7">
        <v>41858</v>
      </c>
      <c r="CC8" s="9">
        <f t="shared" si="0"/>
        <v>-10</v>
      </c>
      <c r="CD8" s="9">
        <v>39</v>
      </c>
      <c r="CE8" s="137">
        <v>42159</v>
      </c>
      <c r="CF8" s="128">
        <f t="shared" si="1"/>
        <v>4</v>
      </c>
      <c r="CG8" s="128"/>
      <c r="CH8" s="39">
        <v>39</v>
      </c>
      <c r="CI8" s="40">
        <v>42159</v>
      </c>
      <c r="CJ8" s="18">
        <v>0</v>
      </c>
      <c r="CK8" s="39">
        <v>38</v>
      </c>
      <c r="CL8" s="40">
        <v>42296</v>
      </c>
      <c r="CM8" s="21">
        <v>5</v>
      </c>
      <c r="CN8" s="41">
        <v>35</v>
      </c>
      <c r="CO8" s="42">
        <v>43855</v>
      </c>
      <c r="CP8" s="23">
        <v>56</v>
      </c>
      <c r="CQ8" s="39">
        <v>31</v>
      </c>
      <c r="CR8" s="46">
        <v>42534</v>
      </c>
      <c r="CS8" s="24">
        <v>12</v>
      </c>
      <c r="CT8" s="39">
        <v>16</v>
      </c>
      <c r="CU8" s="46">
        <v>42835</v>
      </c>
      <c r="CV8" s="29">
        <v>22</v>
      </c>
      <c r="CW8" s="9"/>
      <c r="CX8" s="7"/>
      <c r="CY8" s="9"/>
      <c r="CZ8" s="127">
        <f t="shared" si="3"/>
        <v>0.3</v>
      </c>
      <c r="DA8" s="127">
        <f t="shared" si="4"/>
        <v>0.3</v>
      </c>
      <c r="DB8" s="127">
        <f t="shared" si="5"/>
        <v>0.4</v>
      </c>
      <c r="DC8" s="127"/>
      <c r="DD8" s="127">
        <f t="shared" si="7"/>
        <v>0.4107142857142857</v>
      </c>
      <c r="DE8" s="9">
        <f t="shared" si="8"/>
        <v>56</v>
      </c>
      <c r="DF8" s="127">
        <f t="shared" si="9"/>
        <v>0.41538461538461541</v>
      </c>
      <c r="DG8" s="9">
        <f t="shared" si="10"/>
        <v>65</v>
      </c>
      <c r="DH8" s="129">
        <f t="shared" si="11"/>
        <v>1.0714285714285676E-2</v>
      </c>
      <c r="DI8" s="129"/>
      <c r="DJ8" s="129">
        <f t="shared" si="13"/>
        <v>0.11538461538461542</v>
      </c>
      <c r="DK8" s="9"/>
      <c r="DL8" s="7"/>
      <c r="DM8" s="9"/>
      <c r="DN8" s="7"/>
      <c r="DO8" s="9">
        <f t="shared" si="14"/>
        <v>20</v>
      </c>
      <c r="DP8" s="114">
        <f t="shared" si="15"/>
        <v>30</v>
      </c>
      <c r="DQ8" s="114">
        <f t="shared" si="16"/>
        <v>10</v>
      </c>
      <c r="DR8" s="131">
        <v>1</v>
      </c>
      <c r="DS8" s="132">
        <v>10</v>
      </c>
      <c r="DT8" s="133">
        <v>11</v>
      </c>
      <c r="DU8" s="133">
        <v>1</v>
      </c>
      <c r="DV8" s="134">
        <v>11</v>
      </c>
      <c r="DW8" s="145"/>
      <c r="DX8" s="145"/>
      <c r="DY8" s="145"/>
      <c r="DZ8" s="145"/>
      <c r="EA8" s="145"/>
      <c r="EB8" s="145"/>
      <c r="EC8" s="145"/>
      <c r="ED8" s="145"/>
      <c r="EE8" s="145"/>
      <c r="EF8" s="156"/>
    </row>
    <row r="9" spans="1:136">
      <c r="A9" s="112">
        <v>1186</v>
      </c>
      <c r="B9" s="142" t="s">
        <v>3</v>
      </c>
      <c r="C9" s="146">
        <v>2527326</v>
      </c>
      <c r="D9" s="147" t="s">
        <v>320</v>
      </c>
      <c r="E9" s="111">
        <v>22</v>
      </c>
      <c r="F9" s="112" t="s">
        <v>318</v>
      </c>
      <c r="G9" s="112"/>
      <c r="H9" s="112" t="s">
        <v>319</v>
      </c>
      <c r="I9" s="112"/>
      <c r="J9" s="113">
        <v>41908</v>
      </c>
      <c r="K9" s="114">
        <v>34</v>
      </c>
      <c r="L9" s="112">
        <v>6</v>
      </c>
      <c r="M9" s="113">
        <v>41030</v>
      </c>
      <c r="N9" s="112">
        <v>4</v>
      </c>
      <c r="O9" s="137">
        <v>42117</v>
      </c>
      <c r="P9" s="5">
        <v>42143</v>
      </c>
      <c r="Q9" s="5">
        <v>42489</v>
      </c>
      <c r="R9" s="6">
        <v>42515</v>
      </c>
      <c r="S9" s="112"/>
      <c r="T9" s="112"/>
      <c r="U9" s="112"/>
      <c r="V9" s="112"/>
      <c r="W9" s="112"/>
      <c r="X9" s="112"/>
      <c r="Y9" s="138" t="s">
        <v>85</v>
      </c>
      <c r="Z9" s="139" t="s">
        <v>86</v>
      </c>
      <c r="AA9" s="7">
        <v>42489</v>
      </c>
      <c r="AB9" s="7">
        <v>42515</v>
      </c>
      <c r="AC9" s="7"/>
      <c r="AD9" s="7"/>
      <c r="AE9" s="7"/>
      <c r="AF9" s="7"/>
      <c r="AG9" s="7"/>
      <c r="AH9" s="121">
        <v>1</v>
      </c>
      <c r="AI9" s="149">
        <v>11</v>
      </c>
      <c r="AJ9" s="124">
        <v>1</v>
      </c>
      <c r="AK9" s="124"/>
      <c r="AL9" s="124"/>
      <c r="AM9" s="124"/>
      <c r="AN9" s="124"/>
      <c r="AO9" s="124"/>
      <c r="AP9" s="124"/>
      <c r="AQ9" s="125">
        <v>884.80000000000007</v>
      </c>
      <c r="AR9" s="125">
        <v>1458.8999999999999</v>
      </c>
      <c r="AS9" s="126">
        <v>1114.5999999999999</v>
      </c>
      <c r="AT9" s="126">
        <v>1316.2</v>
      </c>
      <c r="AU9" s="127"/>
      <c r="AV9" s="127"/>
      <c r="AW9" s="127"/>
      <c r="AX9" s="127"/>
      <c r="AY9" s="127"/>
      <c r="AZ9" s="125">
        <v>0.75</v>
      </c>
      <c r="BA9" s="125">
        <v>1.24</v>
      </c>
      <c r="BB9" s="127">
        <v>0.62</v>
      </c>
      <c r="BC9" s="127">
        <v>1.33</v>
      </c>
      <c r="BD9" s="127"/>
      <c r="BE9" s="127"/>
      <c r="BF9" s="127"/>
      <c r="BG9" s="127"/>
      <c r="BH9" s="127"/>
      <c r="BI9" s="125">
        <v>43.24</v>
      </c>
      <c r="BJ9" s="125">
        <v>34.32</v>
      </c>
      <c r="BK9" s="127">
        <v>35.17</v>
      </c>
      <c r="BL9" s="127">
        <v>27.34</v>
      </c>
      <c r="BM9" s="127"/>
      <c r="BN9" s="127"/>
      <c r="BO9" s="127"/>
      <c r="BP9" s="127"/>
      <c r="BQ9" s="127"/>
      <c r="BR9" s="125">
        <v>625.25399999999991</v>
      </c>
      <c r="BS9" s="125">
        <v>397.96199999999999</v>
      </c>
      <c r="BT9" s="127">
        <v>517.24800000000005</v>
      </c>
      <c r="BU9" s="127">
        <v>463.30799999999994</v>
      </c>
      <c r="BV9" s="127"/>
      <c r="BW9" s="127"/>
      <c r="BX9" s="127"/>
      <c r="BY9" s="127"/>
      <c r="BZ9" s="127"/>
      <c r="CA9" s="9">
        <v>34</v>
      </c>
      <c r="CB9" s="7">
        <v>41908</v>
      </c>
      <c r="CC9" s="9">
        <f t="shared" si="0"/>
        <v>-7</v>
      </c>
      <c r="CD9" s="9">
        <v>26</v>
      </c>
      <c r="CE9" s="137">
        <v>42117</v>
      </c>
      <c r="CF9" s="128">
        <f t="shared" si="1"/>
        <v>4</v>
      </c>
      <c r="CG9" s="128">
        <f>ROUND((CO9-CE9)/30.5,0)</f>
        <v>7</v>
      </c>
      <c r="CH9" s="39">
        <v>26</v>
      </c>
      <c r="CI9" s="40">
        <v>42117</v>
      </c>
      <c r="CJ9" s="18">
        <v>0</v>
      </c>
      <c r="CK9" s="39">
        <v>25</v>
      </c>
      <c r="CL9" s="40">
        <v>42226</v>
      </c>
      <c r="CM9" s="21">
        <v>4</v>
      </c>
      <c r="CN9" s="41">
        <v>25</v>
      </c>
      <c r="CO9" s="42">
        <v>42345</v>
      </c>
      <c r="CP9" s="23">
        <v>8</v>
      </c>
      <c r="CQ9" s="39">
        <v>25</v>
      </c>
      <c r="CR9" s="46">
        <v>42488</v>
      </c>
      <c r="CS9" s="24">
        <v>12</v>
      </c>
      <c r="CT9" s="39">
        <v>23</v>
      </c>
      <c r="CU9" s="46">
        <v>42800</v>
      </c>
      <c r="CV9" s="29">
        <v>22</v>
      </c>
      <c r="CW9" s="9">
        <v>19</v>
      </c>
      <c r="CX9" s="7">
        <v>43178</v>
      </c>
      <c r="CY9" s="9">
        <v>35</v>
      </c>
      <c r="CZ9" s="127">
        <f t="shared" si="3"/>
        <v>0.61111111111111116</v>
      </c>
      <c r="DA9" s="127">
        <f t="shared" si="4"/>
        <v>0.61111111111111116</v>
      </c>
      <c r="DB9" s="127">
        <f t="shared" si="5"/>
        <v>1.1428571428571428</v>
      </c>
      <c r="DC9" s="127">
        <f>(CD9-MIN(CK9,CN9))/MAX(CF9,CG9)</f>
        <v>0.14285714285714285</v>
      </c>
      <c r="DD9" s="127">
        <f t="shared" si="7"/>
        <v>0.2</v>
      </c>
      <c r="DE9" s="9">
        <f t="shared" si="8"/>
        <v>35</v>
      </c>
      <c r="DF9" s="127">
        <f t="shared" si="9"/>
        <v>0.35714285714285715</v>
      </c>
      <c r="DG9" s="9">
        <f t="shared" si="10"/>
        <v>42</v>
      </c>
      <c r="DH9" s="129">
        <f t="shared" si="11"/>
        <v>-0.94285714285714284</v>
      </c>
      <c r="DI9" s="152">
        <f>DC9-DB9</f>
        <v>-1</v>
      </c>
      <c r="DJ9" s="129">
        <f t="shared" si="13"/>
        <v>-0.25396825396825401</v>
      </c>
      <c r="DK9" s="9"/>
      <c r="DL9" s="7"/>
      <c r="DM9" s="9"/>
      <c r="DN9" s="7"/>
      <c r="DO9" s="9">
        <f t="shared" si="14"/>
        <v>29</v>
      </c>
      <c r="DP9" s="114">
        <f t="shared" si="15"/>
        <v>36</v>
      </c>
      <c r="DQ9" s="114">
        <f t="shared" si="16"/>
        <v>7</v>
      </c>
      <c r="DR9" s="131">
        <v>1</v>
      </c>
      <c r="DS9" s="132">
        <v>11</v>
      </c>
      <c r="DT9" s="133">
        <v>12</v>
      </c>
      <c r="DU9" s="133">
        <v>1</v>
      </c>
      <c r="DV9" s="134">
        <v>13</v>
      </c>
      <c r="DW9" s="145"/>
      <c r="DX9" s="145"/>
      <c r="DY9" s="145"/>
      <c r="DZ9" s="145"/>
      <c r="EA9" s="145"/>
      <c r="EB9" s="145"/>
      <c r="EC9" s="145"/>
      <c r="ED9" s="145"/>
      <c r="EE9" s="145"/>
      <c r="EF9" s="136"/>
    </row>
    <row r="10" spans="1:136">
      <c r="A10" s="112">
        <v>1701</v>
      </c>
      <c r="B10" s="108" t="s">
        <v>4</v>
      </c>
      <c r="C10" s="146">
        <v>2612832</v>
      </c>
      <c r="D10" s="147" t="s">
        <v>321</v>
      </c>
      <c r="E10" s="111">
        <v>105</v>
      </c>
      <c r="F10" s="112" t="s">
        <v>318</v>
      </c>
      <c r="G10" s="112"/>
      <c r="H10" s="112" t="s">
        <v>319</v>
      </c>
      <c r="I10" s="112"/>
      <c r="J10" s="113">
        <v>42384</v>
      </c>
      <c r="K10" s="114">
        <v>46</v>
      </c>
      <c r="L10" s="112">
        <v>4</v>
      </c>
      <c r="M10" s="113">
        <v>42095</v>
      </c>
      <c r="N10" s="112">
        <v>4</v>
      </c>
      <c r="O10" s="137">
        <v>42524</v>
      </c>
      <c r="P10" s="5">
        <v>42550</v>
      </c>
      <c r="Q10" s="5">
        <v>42874</v>
      </c>
      <c r="R10" s="6">
        <v>42900</v>
      </c>
      <c r="S10" s="154"/>
      <c r="T10" s="154"/>
      <c r="U10" s="112"/>
      <c r="V10" s="112"/>
      <c r="W10" s="112"/>
      <c r="X10" s="112"/>
      <c r="Y10" s="138" t="s">
        <v>87</v>
      </c>
      <c r="Z10" s="139" t="s">
        <v>88</v>
      </c>
      <c r="AA10" s="7">
        <v>42874</v>
      </c>
      <c r="AB10" s="7">
        <v>42900</v>
      </c>
      <c r="AC10" s="7"/>
      <c r="AD10" s="7"/>
      <c r="AE10" s="7"/>
      <c r="AF10" s="7"/>
      <c r="AG10" s="7"/>
      <c r="AH10" s="121">
        <v>1</v>
      </c>
      <c r="AI10" s="149">
        <v>11</v>
      </c>
      <c r="AJ10" s="124">
        <v>1</v>
      </c>
      <c r="AK10" s="124"/>
      <c r="AL10" s="124"/>
      <c r="AM10" s="124"/>
      <c r="AN10" s="124"/>
      <c r="AO10" s="124"/>
      <c r="AP10" s="124"/>
      <c r="AQ10" s="125">
        <v>883.19999999999993</v>
      </c>
      <c r="AR10" s="125">
        <v>462.2</v>
      </c>
      <c r="AS10" s="126">
        <v>797.09999999999991</v>
      </c>
      <c r="AT10" s="126">
        <v>1560.5</v>
      </c>
      <c r="AU10" s="127"/>
      <c r="AV10" s="127"/>
      <c r="AW10" s="127"/>
      <c r="AX10" s="127"/>
      <c r="AY10" s="127"/>
      <c r="AZ10" s="125">
        <v>1.34</v>
      </c>
      <c r="BA10" s="125">
        <v>0.62</v>
      </c>
      <c r="BB10" s="127">
        <v>1.04</v>
      </c>
      <c r="BC10" s="127">
        <v>1.83</v>
      </c>
      <c r="BD10" s="127"/>
      <c r="BE10" s="127"/>
      <c r="BF10" s="127"/>
      <c r="BG10" s="127"/>
      <c r="BH10" s="127"/>
      <c r="BI10" s="125">
        <v>34.72</v>
      </c>
      <c r="BJ10" s="125">
        <v>25.79</v>
      </c>
      <c r="BK10" s="127">
        <v>41.68</v>
      </c>
      <c r="BL10" s="127">
        <v>25.08</v>
      </c>
      <c r="BM10" s="127"/>
      <c r="BN10" s="127"/>
      <c r="BO10" s="127"/>
      <c r="BP10" s="127"/>
      <c r="BQ10" s="127"/>
      <c r="BR10" s="125">
        <v>816.68400000000008</v>
      </c>
      <c r="BS10" s="125">
        <v>734.55599999999993</v>
      </c>
      <c r="BT10" s="127">
        <v>1357.3680000000002</v>
      </c>
      <c r="BU10" s="127">
        <v>707.00399999999991</v>
      </c>
      <c r="BV10" s="127"/>
      <c r="BW10" s="127"/>
      <c r="BX10" s="127"/>
      <c r="BY10" s="127"/>
      <c r="BZ10" s="127"/>
      <c r="CA10" s="9">
        <v>46</v>
      </c>
      <c r="CB10" s="7">
        <v>42384</v>
      </c>
      <c r="CC10" s="9">
        <f t="shared" si="0"/>
        <v>-5</v>
      </c>
      <c r="CD10" s="9">
        <v>41</v>
      </c>
      <c r="CE10" s="137">
        <v>42524</v>
      </c>
      <c r="CF10" s="128">
        <f t="shared" si="1"/>
        <v>4</v>
      </c>
      <c r="CG10" s="128">
        <f>ROUND((CO10-CE10)/30.5,0)</f>
        <v>6</v>
      </c>
      <c r="CH10" s="39">
        <v>41</v>
      </c>
      <c r="CI10" s="40">
        <v>42524</v>
      </c>
      <c r="CJ10" s="18">
        <v>0</v>
      </c>
      <c r="CK10" s="39">
        <v>40</v>
      </c>
      <c r="CL10" s="40">
        <v>42639</v>
      </c>
      <c r="CM10" s="21">
        <v>4</v>
      </c>
      <c r="CN10" s="41">
        <v>40</v>
      </c>
      <c r="CO10" s="42">
        <v>42695</v>
      </c>
      <c r="CP10" s="23">
        <v>6</v>
      </c>
      <c r="CQ10" s="39">
        <v>40</v>
      </c>
      <c r="CR10" s="46">
        <v>42867</v>
      </c>
      <c r="CS10" s="24">
        <v>11</v>
      </c>
      <c r="CT10" s="39">
        <v>33</v>
      </c>
      <c r="CU10" s="46">
        <v>43217</v>
      </c>
      <c r="CV10" s="29">
        <v>23</v>
      </c>
      <c r="CW10" s="9">
        <v>27</v>
      </c>
      <c r="CX10" s="7">
        <v>43532</v>
      </c>
      <c r="CY10" s="9">
        <v>33</v>
      </c>
      <c r="CZ10" s="127">
        <f t="shared" si="3"/>
        <v>0.5</v>
      </c>
      <c r="DA10" s="127">
        <f t="shared" si="4"/>
        <v>0.5</v>
      </c>
      <c r="DB10" s="127">
        <f t="shared" si="5"/>
        <v>1</v>
      </c>
      <c r="DC10" s="127">
        <f>(CD10-MIN(CK10,CN10))/MAX(CF10,CG10)</f>
        <v>0.16666666666666666</v>
      </c>
      <c r="DD10" s="127">
        <f t="shared" si="7"/>
        <v>0.42424242424242425</v>
      </c>
      <c r="DE10" s="9">
        <f t="shared" si="8"/>
        <v>33</v>
      </c>
      <c r="DF10" s="127">
        <f t="shared" si="9"/>
        <v>0.5</v>
      </c>
      <c r="DG10" s="9">
        <f t="shared" si="10"/>
        <v>38</v>
      </c>
      <c r="DH10" s="129">
        <f t="shared" si="11"/>
        <v>-0.57575757575757569</v>
      </c>
      <c r="DI10" s="152">
        <f>DC10-DB10</f>
        <v>-0.83333333333333337</v>
      </c>
      <c r="DJ10" s="129">
        <f t="shared" si="13"/>
        <v>0</v>
      </c>
      <c r="DK10" s="9"/>
      <c r="DL10" s="7"/>
      <c r="DM10" s="9"/>
      <c r="DN10" s="7"/>
      <c r="DO10" s="9">
        <f t="shared" si="14"/>
        <v>9</v>
      </c>
      <c r="DP10" s="114">
        <f t="shared" si="15"/>
        <v>14</v>
      </c>
      <c r="DQ10" s="114">
        <f t="shared" si="16"/>
        <v>5</v>
      </c>
      <c r="DR10" s="131">
        <v>1</v>
      </c>
      <c r="DS10" s="132">
        <v>11</v>
      </c>
      <c r="DT10" s="133">
        <v>11</v>
      </c>
      <c r="DU10" s="133">
        <v>1</v>
      </c>
      <c r="DV10" s="134">
        <v>12</v>
      </c>
      <c r="DW10" s="155"/>
      <c r="DX10" s="145"/>
      <c r="DY10" s="145"/>
      <c r="DZ10" s="145"/>
      <c r="EA10" s="145"/>
      <c r="EB10" s="145"/>
      <c r="EC10" s="145"/>
      <c r="ED10" s="145"/>
      <c r="EE10" s="145"/>
      <c r="EF10" s="136"/>
    </row>
    <row r="11" spans="1:136">
      <c r="A11" s="112">
        <v>2039</v>
      </c>
      <c r="B11" s="108" t="s">
        <v>8</v>
      </c>
      <c r="C11" s="146">
        <v>2679793</v>
      </c>
      <c r="D11" s="147" t="s">
        <v>325</v>
      </c>
      <c r="E11" s="111">
        <v>140</v>
      </c>
      <c r="F11" s="112" t="s">
        <v>313</v>
      </c>
      <c r="G11" s="112">
        <v>1</v>
      </c>
      <c r="H11" s="112" t="s">
        <v>319</v>
      </c>
      <c r="I11" s="112"/>
      <c r="J11" s="113">
        <v>42940</v>
      </c>
      <c r="K11" s="114">
        <v>38</v>
      </c>
      <c r="L11" s="112">
        <v>1</v>
      </c>
      <c r="M11" s="113">
        <v>42370</v>
      </c>
      <c r="N11" s="112">
        <v>4</v>
      </c>
      <c r="O11" s="137">
        <v>42972</v>
      </c>
      <c r="P11" s="5">
        <v>42998</v>
      </c>
      <c r="Q11" s="5">
        <v>43224</v>
      </c>
      <c r="R11" s="7">
        <v>43250</v>
      </c>
      <c r="S11" s="112"/>
      <c r="T11" s="112"/>
      <c r="U11" s="112"/>
      <c r="V11" s="112"/>
      <c r="W11" s="112"/>
      <c r="X11" s="112"/>
      <c r="Y11" s="138" t="s">
        <v>95</v>
      </c>
      <c r="Z11" s="139" t="s">
        <v>96</v>
      </c>
      <c r="AA11" s="7">
        <v>43224</v>
      </c>
      <c r="AB11" s="7">
        <v>43250</v>
      </c>
      <c r="AC11" s="7"/>
      <c r="AD11" s="7"/>
      <c r="AE11" s="7"/>
      <c r="AF11" s="7"/>
      <c r="AG11" s="7"/>
      <c r="AH11" s="121">
        <v>1</v>
      </c>
      <c r="AI11" s="149">
        <v>7</v>
      </c>
      <c r="AJ11" s="124">
        <v>1</v>
      </c>
      <c r="AK11" s="124"/>
      <c r="AL11" s="121"/>
      <c r="AM11" s="121"/>
      <c r="AN11" s="121"/>
      <c r="AO11" s="121"/>
      <c r="AP11" s="121"/>
      <c r="AQ11" s="125">
        <v>1106.9000000000001</v>
      </c>
      <c r="AR11" s="125">
        <v>1521.1000000000001</v>
      </c>
      <c r="AS11" s="126">
        <v>1286</v>
      </c>
      <c r="AT11" s="126">
        <v>1261.9000000000001</v>
      </c>
      <c r="AU11" s="127"/>
      <c r="AV11" s="127"/>
      <c r="AW11" s="127"/>
      <c r="AX11" s="127"/>
      <c r="AY11" s="127"/>
      <c r="AZ11" s="125">
        <v>2.98</v>
      </c>
      <c r="BA11" s="125">
        <v>3.11</v>
      </c>
      <c r="BB11" s="127">
        <v>2.33</v>
      </c>
      <c r="BC11" s="127">
        <v>2.59</v>
      </c>
      <c r="BD11" s="127"/>
      <c r="BE11" s="127"/>
      <c r="BF11" s="127"/>
      <c r="BG11" s="127"/>
      <c r="BH11" s="127"/>
      <c r="BI11" s="125">
        <v>26.37</v>
      </c>
      <c r="BJ11" s="125">
        <v>34</v>
      </c>
      <c r="BK11" s="127">
        <v>29.48</v>
      </c>
      <c r="BL11" s="127">
        <v>24.49</v>
      </c>
      <c r="BM11" s="127"/>
      <c r="BN11" s="127"/>
      <c r="BO11" s="127"/>
      <c r="BP11" s="127"/>
      <c r="BQ11" s="127"/>
      <c r="BR11" s="125">
        <v>593.13</v>
      </c>
      <c r="BS11" s="125">
        <v>509.13</v>
      </c>
      <c r="BT11" s="127">
        <v>690.35</v>
      </c>
      <c r="BU11" s="127">
        <v>378.56</v>
      </c>
      <c r="BV11" s="127"/>
      <c r="BW11" s="127"/>
      <c r="BX11" s="127"/>
      <c r="BY11" s="127"/>
      <c r="BZ11" s="127"/>
      <c r="CA11" s="9">
        <v>38</v>
      </c>
      <c r="CB11" s="7">
        <v>42940</v>
      </c>
      <c r="CC11" s="9">
        <f t="shared" si="0"/>
        <v>-1</v>
      </c>
      <c r="CD11" s="9">
        <v>40</v>
      </c>
      <c r="CE11" s="137">
        <v>42972</v>
      </c>
      <c r="CF11" s="128">
        <f t="shared" si="1"/>
        <v>6</v>
      </c>
      <c r="CG11" s="128"/>
      <c r="CH11" s="39">
        <v>40</v>
      </c>
      <c r="CI11" s="40">
        <v>42972</v>
      </c>
      <c r="CJ11" s="18">
        <v>0</v>
      </c>
      <c r="CK11" s="41">
        <v>34</v>
      </c>
      <c r="CL11" s="42">
        <v>43157</v>
      </c>
      <c r="CM11" s="23">
        <v>6</v>
      </c>
      <c r="CN11" s="34"/>
      <c r="CO11" s="34"/>
      <c r="CP11" s="36"/>
      <c r="CQ11" s="39"/>
      <c r="CR11" s="46"/>
      <c r="CS11" s="24"/>
      <c r="CT11" s="39"/>
      <c r="CU11" s="46"/>
      <c r="CV11" s="29"/>
      <c r="CW11" s="9"/>
      <c r="CX11" s="7"/>
      <c r="CY11" s="9"/>
      <c r="CZ11" s="127">
        <f t="shared" si="3"/>
        <v>0.4</v>
      </c>
      <c r="DA11" s="127">
        <f t="shared" si="4"/>
        <v>0.4</v>
      </c>
      <c r="DB11" s="127">
        <f t="shared" si="5"/>
        <v>-2</v>
      </c>
      <c r="DC11" s="127"/>
      <c r="DD11" s="127">
        <f t="shared" si="7"/>
        <v>1</v>
      </c>
      <c r="DE11" s="9">
        <f t="shared" si="8"/>
        <v>6</v>
      </c>
      <c r="DF11" s="127">
        <f t="shared" si="9"/>
        <v>0.5714285714285714</v>
      </c>
      <c r="DG11" s="9">
        <f t="shared" si="10"/>
        <v>7</v>
      </c>
      <c r="DH11" s="129">
        <f t="shared" si="11"/>
        <v>3</v>
      </c>
      <c r="DI11" s="129"/>
      <c r="DJ11" s="129">
        <f t="shared" si="13"/>
        <v>0.17142857142857137</v>
      </c>
      <c r="DK11" s="9"/>
      <c r="DL11" s="7"/>
      <c r="DM11" s="9"/>
      <c r="DN11" s="7"/>
      <c r="DO11" s="9">
        <f t="shared" si="14"/>
        <v>19</v>
      </c>
      <c r="DP11" s="114">
        <f t="shared" si="15"/>
        <v>20</v>
      </c>
      <c r="DQ11" s="114">
        <f t="shared" si="16"/>
        <v>1</v>
      </c>
      <c r="DR11" s="131">
        <v>1</v>
      </c>
      <c r="DS11" s="132">
        <v>7</v>
      </c>
      <c r="DT11" s="133">
        <v>8</v>
      </c>
      <c r="DU11" s="133">
        <v>1</v>
      </c>
      <c r="DV11" s="134">
        <v>9</v>
      </c>
      <c r="DW11" s="145"/>
      <c r="DX11" s="145"/>
      <c r="DY11" s="145"/>
      <c r="DZ11" s="145"/>
      <c r="EA11" s="145"/>
      <c r="EB11" s="145"/>
      <c r="EC11" s="145"/>
      <c r="ED11" s="145"/>
      <c r="EE11" s="145"/>
      <c r="EF11" s="136"/>
    </row>
    <row r="12" spans="1:136">
      <c r="A12" s="112">
        <v>2102</v>
      </c>
      <c r="B12" s="142" t="s">
        <v>6</v>
      </c>
      <c r="C12" s="146">
        <v>2690198</v>
      </c>
      <c r="D12" s="147" t="s">
        <v>323</v>
      </c>
      <c r="E12" s="111">
        <v>149</v>
      </c>
      <c r="F12" s="112" t="s">
        <v>313</v>
      </c>
      <c r="G12" s="112">
        <v>1</v>
      </c>
      <c r="H12" s="112" t="s">
        <v>319</v>
      </c>
      <c r="I12" s="112"/>
      <c r="J12" s="113">
        <v>43034</v>
      </c>
      <c r="K12" s="114">
        <v>34</v>
      </c>
      <c r="L12" s="112">
        <v>0</v>
      </c>
      <c r="M12" s="113">
        <v>42339</v>
      </c>
      <c r="N12" s="112">
        <v>4</v>
      </c>
      <c r="O12" s="137">
        <v>43062</v>
      </c>
      <c r="P12" s="5">
        <v>43088</v>
      </c>
      <c r="Q12" s="5">
        <v>43406</v>
      </c>
      <c r="R12" s="7">
        <v>43432</v>
      </c>
      <c r="S12" s="112"/>
      <c r="T12" s="112"/>
      <c r="U12" s="112"/>
      <c r="V12" s="112"/>
      <c r="W12" s="112"/>
      <c r="X12" s="112"/>
      <c r="Y12" s="138" t="s">
        <v>91</v>
      </c>
      <c r="Z12" s="139" t="s">
        <v>92</v>
      </c>
      <c r="AA12" s="7">
        <v>43406</v>
      </c>
      <c r="AB12" s="7">
        <v>43432</v>
      </c>
      <c r="AC12" s="7"/>
      <c r="AD12" s="7"/>
      <c r="AE12" s="7"/>
      <c r="AF12" s="7"/>
      <c r="AG12" s="7"/>
      <c r="AH12" s="121">
        <v>1</v>
      </c>
      <c r="AI12" s="149">
        <v>10</v>
      </c>
      <c r="AJ12" s="124">
        <v>1</v>
      </c>
      <c r="AK12" s="124"/>
      <c r="AL12" s="124"/>
      <c r="AM12" s="124"/>
      <c r="AN12" s="124"/>
      <c r="AO12" s="124"/>
      <c r="AP12" s="124"/>
      <c r="AQ12" s="125">
        <v>1185.5999999999999</v>
      </c>
      <c r="AR12" s="125">
        <v>1457.8999999999999</v>
      </c>
      <c r="AS12" s="126">
        <v>1249.4000000000001</v>
      </c>
      <c r="AT12" s="126">
        <v>1370.6999999999998</v>
      </c>
      <c r="AU12" s="127"/>
      <c r="AV12" s="127"/>
      <c r="AW12" s="127"/>
      <c r="AX12" s="127"/>
      <c r="AY12" s="127"/>
      <c r="AZ12" s="125">
        <v>3.37</v>
      </c>
      <c r="BA12" s="125">
        <v>3.62</v>
      </c>
      <c r="BB12" s="127">
        <v>3.11</v>
      </c>
      <c r="BC12" s="127">
        <v>2.72</v>
      </c>
      <c r="BD12" s="127"/>
      <c r="BE12" s="127"/>
      <c r="BF12" s="127"/>
      <c r="BG12" s="127"/>
      <c r="BH12" s="127"/>
      <c r="BI12" s="125">
        <v>42.78</v>
      </c>
      <c r="BJ12" s="125">
        <v>44.99</v>
      </c>
      <c r="BK12" s="127">
        <v>35.82</v>
      </c>
      <c r="BL12" s="127">
        <v>37.090000000000003</v>
      </c>
      <c r="BM12" s="127"/>
      <c r="BN12" s="127"/>
      <c r="BO12" s="127"/>
      <c r="BP12" s="127"/>
      <c r="BQ12" s="127"/>
      <c r="BR12" s="125">
        <v>751.59</v>
      </c>
      <c r="BS12" s="125">
        <v>750.78</v>
      </c>
      <c r="BT12" s="127">
        <v>731.47</v>
      </c>
      <c r="BU12" s="127">
        <v>644.04</v>
      </c>
      <c r="BV12" s="127"/>
      <c r="BW12" s="127"/>
      <c r="BX12" s="127"/>
      <c r="BY12" s="127"/>
      <c r="BZ12" s="127"/>
      <c r="CA12" s="9">
        <v>33</v>
      </c>
      <c r="CB12" s="7">
        <v>43034</v>
      </c>
      <c r="CC12" s="9">
        <f t="shared" si="0"/>
        <v>-1</v>
      </c>
      <c r="CD12" s="9">
        <v>33</v>
      </c>
      <c r="CE12" s="137">
        <v>43062</v>
      </c>
      <c r="CF12" s="128">
        <f t="shared" si="1"/>
        <v>8</v>
      </c>
      <c r="CG12" s="128">
        <f>ROUND((CO12-CE12)/30.5,0)</f>
        <v>10</v>
      </c>
      <c r="CH12" s="39">
        <v>33</v>
      </c>
      <c r="CI12" s="40">
        <v>43062</v>
      </c>
      <c r="CJ12" s="18">
        <v>0</v>
      </c>
      <c r="CK12" s="41">
        <v>30</v>
      </c>
      <c r="CL12" s="42">
        <v>43318</v>
      </c>
      <c r="CM12" s="23">
        <v>8</v>
      </c>
      <c r="CN12" s="39">
        <v>27</v>
      </c>
      <c r="CO12" s="46">
        <v>43378</v>
      </c>
      <c r="CP12" s="24">
        <v>12</v>
      </c>
      <c r="CQ12" s="34">
        <v>27</v>
      </c>
      <c r="CR12" s="35">
        <v>43432</v>
      </c>
      <c r="CS12" s="36"/>
      <c r="CT12" s="8"/>
      <c r="CU12" s="6"/>
      <c r="CV12" s="9"/>
      <c r="CW12" s="27"/>
      <c r="CX12" s="27"/>
      <c r="CY12" s="28"/>
      <c r="CZ12" s="127">
        <f t="shared" si="3"/>
        <v>0.625</v>
      </c>
      <c r="DA12" s="127">
        <f t="shared" si="4"/>
        <v>0.625</v>
      </c>
      <c r="DB12" s="127">
        <f t="shared" si="5"/>
        <v>0</v>
      </c>
      <c r="DC12" s="127">
        <f>(CD12-MIN(CK12,CN12))/MAX(CF12,CG12)</f>
        <v>0.6</v>
      </c>
      <c r="DD12" s="127">
        <f t="shared" si="7"/>
        <v>0.5</v>
      </c>
      <c r="DE12" s="9">
        <f t="shared" si="8"/>
        <v>12</v>
      </c>
      <c r="DF12" s="127">
        <f t="shared" si="9"/>
        <v>0.46153846153846156</v>
      </c>
      <c r="DG12" s="9">
        <f t="shared" si="10"/>
        <v>13</v>
      </c>
      <c r="DH12" s="129">
        <f t="shared" si="11"/>
        <v>0.5</v>
      </c>
      <c r="DI12" s="130">
        <f>DC12-DB12</f>
        <v>0.6</v>
      </c>
      <c r="DJ12" s="129">
        <f t="shared" si="13"/>
        <v>-0.16346153846153844</v>
      </c>
      <c r="DK12" s="9"/>
      <c r="DL12" s="7"/>
      <c r="DM12" s="9"/>
      <c r="DN12" s="7"/>
      <c r="DO12" s="9">
        <f t="shared" si="14"/>
        <v>23</v>
      </c>
      <c r="DP12" s="114">
        <f t="shared" si="15"/>
        <v>24</v>
      </c>
      <c r="DQ12" s="114">
        <f t="shared" si="16"/>
        <v>1</v>
      </c>
      <c r="DR12" s="131">
        <v>1</v>
      </c>
      <c r="DS12" s="132">
        <v>10</v>
      </c>
      <c r="DT12" s="133">
        <v>11</v>
      </c>
      <c r="DU12" s="133">
        <v>1</v>
      </c>
      <c r="DV12" s="134">
        <v>12</v>
      </c>
      <c r="DW12" s="145"/>
      <c r="DX12" s="145"/>
      <c r="DY12" s="145"/>
      <c r="DZ12" s="145"/>
      <c r="EA12" s="145"/>
      <c r="EB12" s="145"/>
      <c r="EC12" s="145"/>
      <c r="ED12" s="145"/>
      <c r="EE12" s="145"/>
      <c r="EF12" s="136"/>
    </row>
    <row r="13" spans="1:136">
      <c r="A13" s="112">
        <v>2272</v>
      </c>
      <c r="B13" s="142" t="s">
        <v>11</v>
      </c>
      <c r="C13" s="146">
        <v>2719430</v>
      </c>
      <c r="D13" s="147" t="s">
        <v>329</v>
      </c>
      <c r="E13" s="111">
        <v>179</v>
      </c>
      <c r="F13" s="112" t="s">
        <v>313</v>
      </c>
      <c r="G13" s="112">
        <v>1</v>
      </c>
      <c r="H13" s="112" t="s">
        <v>319</v>
      </c>
      <c r="I13" s="112"/>
      <c r="J13" s="113">
        <v>43272</v>
      </c>
      <c r="K13" s="114">
        <v>46</v>
      </c>
      <c r="L13" s="112">
        <v>0</v>
      </c>
      <c r="M13" s="113">
        <v>43101</v>
      </c>
      <c r="N13" s="112">
        <v>4</v>
      </c>
      <c r="O13" s="137">
        <v>43300</v>
      </c>
      <c r="P13" s="5">
        <v>43326</v>
      </c>
      <c r="Q13" s="5">
        <v>43454</v>
      </c>
      <c r="R13" s="6">
        <v>43480</v>
      </c>
      <c r="S13" s="112"/>
      <c r="T13" s="112"/>
      <c r="U13" s="112"/>
      <c r="V13" s="112"/>
      <c r="W13" s="112"/>
      <c r="X13" s="112"/>
      <c r="Y13" s="140" t="s">
        <v>99</v>
      </c>
      <c r="Z13" s="140" t="s">
        <v>100</v>
      </c>
      <c r="AA13" s="7">
        <v>43454</v>
      </c>
      <c r="AB13" s="7">
        <v>43480</v>
      </c>
      <c r="AC13" s="7"/>
      <c r="AD13" s="7"/>
      <c r="AE13" s="7"/>
      <c r="AF13" s="7"/>
      <c r="AG13" s="7"/>
      <c r="AH13" s="121">
        <v>1</v>
      </c>
      <c r="AI13" s="158">
        <v>4</v>
      </c>
      <c r="AJ13" s="124">
        <v>1</v>
      </c>
      <c r="AK13" s="124"/>
      <c r="AL13" s="124"/>
      <c r="AM13" s="124"/>
      <c r="AN13" s="124"/>
      <c r="AO13" s="124"/>
      <c r="AP13" s="124"/>
      <c r="AQ13" s="125">
        <v>1426.1000000000001</v>
      </c>
      <c r="AR13" s="125">
        <v>1923.7</v>
      </c>
      <c r="AS13" s="126">
        <v>1531.3</v>
      </c>
      <c r="AT13" s="126">
        <v>2315.6</v>
      </c>
      <c r="AU13" s="127"/>
      <c r="AV13" s="127"/>
      <c r="AW13" s="127"/>
      <c r="AX13" s="127"/>
      <c r="AY13" s="127"/>
      <c r="AZ13" s="125">
        <v>4.26</v>
      </c>
      <c r="BA13" s="125">
        <v>5.34</v>
      </c>
      <c r="BB13" s="127">
        <v>7.15</v>
      </c>
      <c r="BC13" s="127">
        <v>13.27</v>
      </c>
      <c r="BD13" s="127"/>
      <c r="BE13" s="127"/>
      <c r="BF13" s="127"/>
      <c r="BG13" s="127"/>
      <c r="BH13" s="127"/>
      <c r="BI13" s="125">
        <v>71.72</v>
      </c>
      <c r="BJ13" s="125">
        <v>60.04</v>
      </c>
      <c r="BK13" s="127">
        <v>38.46</v>
      </c>
      <c r="BL13" s="127">
        <v>38.46</v>
      </c>
      <c r="BM13" s="127"/>
      <c r="BN13" s="127"/>
      <c r="BO13" s="127"/>
      <c r="BP13" s="127"/>
      <c r="BQ13" s="127"/>
      <c r="BR13" s="125">
        <v>1007.61</v>
      </c>
      <c r="BS13" s="125">
        <v>934.53</v>
      </c>
      <c r="BT13" s="127">
        <v>801.67</v>
      </c>
      <c r="BU13" s="127">
        <v>637.16999999999996</v>
      </c>
      <c r="BV13" s="127"/>
      <c r="BW13" s="127"/>
      <c r="BX13" s="127"/>
      <c r="BY13" s="127"/>
      <c r="BZ13" s="127"/>
      <c r="CA13" s="9">
        <v>46</v>
      </c>
      <c r="CB13" s="7">
        <v>43272</v>
      </c>
      <c r="CC13" s="9">
        <f t="shared" si="0"/>
        <v>-1</v>
      </c>
      <c r="CD13" s="9">
        <v>46</v>
      </c>
      <c r="CE13" s="137">
        <v>43300</v>
      </c>
      <c r="CF13" s="128">
        <f t="shared" si="1"/>
        <v>4</v>
      </c>
      <c r="CG13" s="128">
        <f>ROUND((CO13-CE13)/30.5,0)</f>
        <v>5</v>
      </c>
      <c r="CH13" s="39">
        <v>46</v>
      </c>
      <c r="CI13" s="40">
        <v>43300</v>
      </c>
      <c r="CJ13" s="18">
        <v>0</v>
      </c>
      <c r="CK13" s="39">
        <v>46</v>
      </c>
      <c r="CL13" s="40">
        <v>43426</v>
      </c>
      <c r="CM13" s="21">
        <v>4</v>
      </c>
      <c r="CN13" s="41">
        <v>45</v>
      </c>
      <c r="CO13" s="42">
        <v>43454</v>
      </c>
      <c r="CP13" s="23">
        <v>5</v>
      </c>
      <c r="CQ13" s="39"/>
      <c r="CR13" s="46"/>
      <c r="CS13" s="24"/>
      <c r="CT13" s="39"/>
      <c r="CU13" s="46"/>
      <c r="CV13" s="29"/>
      <c r="CW13" s="9"/>
      <c r="CX13" s="7"/>
      <c r="CY13" s="9"/>
      <c r="CZ13" s="127">
        <f t="shared" si="3"/>
        <v>0.2857142857142857</v>
      </c>
      <c r="DA13" s="127">
        <f t="shared" si="4"/>
        <v>0.2857142857142857</v>
      </c>
      <c r="DB13" s="127">
        <f t="shared" si="5"/>
        <v>0</v>
      </c>
      <c r="DC13" s="127">
        <f>(CD13-MIN(CK13,CN13))/MAX(CF13,CG13)</f>
        <v>0.2</v>
      </c>
      <c r="DD13" s="127">
        <f t="shared" si="7"/>
        <v>0.2</v>
      </c>
      <c r="DE13" s="9">
        <f t="shared" si="8"/>
        <v>5</v>
      </c>
      <c r="DF13" s="127">
        <f t="shared" si="9"/>
        <v>0.16666666666666666</v>
      </c>
      <c r="DG13" s="9">
        <f t="shared" si="10"/>
        <v>6</v>
      </c>
      <c r="DH13" s="129">
        <f t="shared" si="11"/>
        <v>0.2</v>
      </c>
      <c r="DI13" s="144">
        <f>DC13-DB13</f>
        <v>0.2</v>
      </c>
      <c r="DJ13" s="129">
        <f t="shared" si="13"/>
        <v>-0.11904761904761904</v>
      </c>
      <c r="DK13" s="9"/>
      <c r="DL13" s="7"/>
      <c r="DM13" s="9"/>
      <c r="DN13" s="7"/>
      <c r="DO13" s="9">
        <f t="shared" si="14"/>
        <v>6</v>
      </c>
      <c r="DP13" s="114">
        <f t="shared" si="15"/>
        <v>7</v>
      </c>
      <c r="DQ13" s="114">
        <f t="shared" si="16"/>
        <v>1</v>
      </c>
      <c r="DR13" s="131">
        <v>1</v>
      </c>
      <c r="DS13" s="132">
        <v>4</v>
      </c>
      <c r="DT13" s="133">
        <v>5</v>
      </c>
      <c r="DU13" s="133">
        <v>1</v>
      </c>
      <c r="DV13" s="134">
        <v>6</v>
      </c>
      <c r="DW13" s="145"/>
      <c r="DX13" s="145"/>
      <c r="DY13" s="145"/>
      <c r="DZ13" s="145"/>
      <c r="EA13" s="145"/>
      <c r="EB13" s="145"/>
      <c r="EC13" s="145"/>
      <c r="ED13" s="145"/>
      <c r="EE13" s="145"/>
      <c r="EF13" s="136"/>
    </row>
    <row r="14" spans="1:136">
      <c r="A14" s="112">
        <v>1984</v>
      </c>
      <c r="B14" s="108" t="s">
        <v>2</v>
      </c>
      <c r="C14" s="146">
        <v>2671897</v>
      </c>
      <c r="D14" s="147" t="s">
        <v>317</v>
      </c>
      <c r="E14" s="148">
        <v>143</v>
      </c>
      <c r="F14" s="112" t="s">
        <v>318</v>
      </c>
      <c r="G14" s="112"/>
      <c r="H14" s="112" t="s">
        <v>319</v>
      </c>
      <c r="I14" s="112"/>
      <c r="J14" s="113">
        <v>42874</v>
      </c>
      <c r="K14" s="114">
        <v>45</v>
      </c>
      <c r="L14" s="112">
        <v>5</v>
      </c>
      <c r="M14" s="113">
        <v>42644</v>
      </c>
      <c r="N14" s="112">
        <v>4</v>
      </c>
      <c r="O14" s="137">
        <v>43027</v>
      </c>
      <c r="P14" s="5">
        <v>43053</v>
      </c>
      <c r="Q14" s="5">
        <v>43518</v>
      </c>
      <c r="R14" s="6">
        <v>43544</v>
      </c>
      <c r="S14" s="154"/>
      <c r="T14" s="154"/>
      <c r="U14" s="154"/>
      <c r="V14" s="154"/>
      <c r="W14" s="154"/>
      <c r="X14" s="112"/>
      <c r="Y14" s="140" t="s">
        <v>83</v>
      </c>
      <c r="Z14" s="140" t="s">
        <v>84</v>
      </c>
      <c r="AA14" s="7">
        <v>43518</v>
      </c>
      <c r="AB14" s="7">
        <v>43544</v>
      </c>
      <c r="AC14" s="7"/>
      <c r="AD14" s="7"/>
      <c r="AE14" s="7"/>
      <c r="AF14" s="7"/>
      <c r="AG14" s="7"/>
      <c r="AH14" s="121">
        <v>1</v>
      </c>
      <c r="AI14" s="149">
        <v>15</v>
      </c>
      <c r="AJ14" s="121">
        <v>1</v>
      </c>
      <c r="AK14" s="124"/>
      <c r="AL14" s="124"/>
      <c r="AM14" s="124"/>
      <c r="AN14" s="124"/>
      <c r="AO14" s="124"/>
      <c r="AP14" s="124"/>
      <c r="AQ14" s="125">
        <v>963.8</v>
      </c>
      <c r="AR14" s="125">
        <v>2378.1</v>
      </c>
      <c r="AS14" s="126">
        <v>1018.9</v>
      </c>
      <c r="AT14" s="126">
        <v>1236.5</v>
      </c>
      <c r="AU14" s="127"/>
      <c r="AV14" s="127"/>
      <c r="AW14" s="127"/>
      <c r="AX14" s="127"/>
      <c r="AY14" s="127"/>
      <c r="AZ14" s="125">
        <v>3.75</v>
      </c>
      <c r="BA14" s="125">
        <v>4.82</v>
      </c>
      <c r="BB14" s="127">
        <v>4.18</v>
      </c>
      <c r="BC14" s="127">
        <v>7.29</v>
      </c>
      <c r="BD14" s="127"/>
      <c r="BE14" s="127"/>
      <c r="BF14" s="127"/>
      <c r="BG14" s="127"/>
      <c r="BH14" s="127"/>
      <c r="BI14" s="125">
        <v>44.64</v>
      </c>
      <c r="BJ14" s="125">
        <v>47.45</v>
      </c>
      <c r="BK14" s="127">
        <v>35.07</v>
      </c>
      <c r="BL14" s="127">
        <v>37.159999999999997</v>
      </c>
      <c r="BM14" s="127"/>
      <c r="BN14" s="127"/>
      <c r="BO14" s="127"/>
      <c r="BP14" s="127"/>
      <c r="BQ14" s="127"/>
      <c r="BR14" s="125">
        <v>929.77</v>
      </c>
      <c r="BS14" s="125">
        <v>722.57</v>
      </c>
      <c r="BT14" s="127">
        <v>1320.35</v>
      </c>
      <c r="BU14" s="127">
        <v>489.38</v>
      </c>
      <c r="BV14" s="127"/>
      <c r="BW14" s="127"/>
      <c r="BX14" s="127"/>
      <c r="BY14" s="127"/>
      <c r="BZ14" s="127"/>
      <c r="CA14" s="9">
        <v>45</v>
      </c>
      <c r="CB14" s="7">
        <v>42874</v>
      </c>
      <c r="CC14" s="9">
        <f t="shared" si="0"/>
        <v>-5</v>
      </c>
      <c r="CD14" s="9">
        <v>43</v>
      </c>
      <c r="CE14" s="137">
        <v>43027</v>
      </c>
      <c r="CF14" s="128">
        <f t="shared" si="1"/>
        <v>3</v>
      </c>
      <c r="CG14" s="128">
        <f>ROUND((CO14-CE14)/30.5,0)</f>
        <v>5</v>
      </c>
      <c r="CH14" s="39">
        <v>43</v>
      </c>
      <c r="CI14" s="40">
        <v>43027</v>
      </c>
      <c r="CJ14" s="18">
        <v>0</v>
      </c>
      <c r="CK14" s="39">
        <v>37</v>
      </c>
      <c r="CL14" s="40">
        <v>43115</v>
      </c>
      <c r="CM14" s="21">
        <v>3</v>
      </c>
      <c r="CN14" s="41">
        <v>37</v>
      </c>
      <c r="CO14" s="42">
        <v>43171</v>
      </c>
      <c r="CP14" s="23">
        <v>5</v>
      </c>
      <c r="CQ14" s="39">
        <v>25</v>
      </c>
      <c r="CR14" s="46">
        <v>43416</v>
      </c>
      <c r="CS14" s="24">
        <v>13</v>
      </c>
      <c r="CT14" s="39">
        <v>22</v>
      </c>
      <c r="CU14" s="46">
        <v>43745</v>
      </c>
      <c r="CV14" s="29">
        <v>24</v>
      </c>
      <c r="CW14" s="9"/>
      <c r="CX14" s="7"/>
      <c r="CY14" s="9"/>
      <c r="CZ14" s="127">
        <f t="shared" si="3"/>
        <v>0.38461538461538464</v>
      </c>
      <c r="DA14" s="127">
        <f t="shared" si="4"/>
        <v>0.38461538461538464</v>
      </c>
      <c r="DB14" s="127">
        <f t="shared" si="5"/>
        <v>0.4</v>
      </c>
      <c r="DC14" s="127">
        <f>(CD14-MIN(CK14,CN14))/MAX(CF14,CG14)</f>
        <v>1.2</v>
      </c>
      <c r="DD14" s="127">
        <f t="shared" si="7"/>
        <v>0.875</v>
      </c>
      <c r="DE14" s="9">
        <f t="shared" si="8"/>
        <v>24</v>
      </c>
      <c r="DF14" s="127">
        <f t="shared" si="9"/>
        <v>0.7931034482758621</v>
      </c>
      <c r="DG14" s="9">
        <f t="shared" si="10"/>
        <v>29</v>
      </c>
      <c r="DH14" s="129">
        <f t="shared" si="11"/>
        <v>0.47499999999999998</v>
      </c>
      <c r="DI14" s="130">
        <f>DC14-DB14</f>
        <v>0.79999999999999993</v>
      </c>
      <c r="DJ14" s="129">
        <f t="shared" si="13"/>
        <v>0.40848806366047746</v>
      </c>
      <c r="DK14" s="9"/>
      <c r="DL14" s="7"/>
      <c r="DM14" s="9"/>
      <c r="DN14" s="7"/>
      <c r="DO14" s="9">
        <f t="shared" si="14"/>
        <v>8</v>
      </c>
      <c r="DP14" s="114">
        <f t="shared" si="15"/>
        <v>13</v>
      </c>
      <c r="DQ14" s="114">
        <f t="shared" si="16"/>
        <v>5</v>
      </c>
      <c r="DR14" s="131">
        <v>1</v>
      </c>
      <c r="DS14" s="132">
        <v>15</v>
      </c>
      <c r="DT14" s="133">
        <v>16</v>
      </c>
      <c r="DU14" s="133">
        <v>1</v>
      </c>
      <c r="DV14" s="134">
        <v>17</v>
      </c>
      <c r="DW14" s="155"/>
      <c r="DX14" s="155"/>
      <c r="DY14" s="155"/>
      <c r="DZ14" s="155"/>
      <c r="EA14" s="155"/>
      <c r="EB14" s="155"/>
      <c r="EC14" s="155"/>
      <c r="ED14" s="145"/>
      <c r="EE14" s="145"/>
      <c r="EF14" s="136"/>
    </row>
    <row r="15" spans="1:136">
      <c r="A15" s="112">
        <v>2335</v>
      </c>
      <c r="B15" s="108" t="s">
        <v>10</v>
      </c>
      <c r="C15" s="146">
        <v>2728041</v>
      </c>
      <c r="D15" s="147" t="s">
        <v>327</v>
      </c>
      <c r="E15" s="111">
        <v>189</v>
      </c>
      <c r="F15" s="112" t="s">
        <v>313</v>
      </c>
      <c r="G15" s="112"/>
      <c r="H15" s="112" t="s">
        <v>314</v>
      </c>
      <c r="I15" s="112" t="s">
        <v>328</v>
      </c>
      <c r="J15" s="113">
        <v>43356</v>
      </c>
      <c r="K15" s="114">
        <v>41</v>
      </c>
      <c r="L15" s="112">
        <v>0</v>
      </c>
      <c r="M15" s="113">
        <v>42979</v>
      </c>
      <c r="N15" s="112">
        <v>4</v>
      </c>
      <c r="O15" s="137">
        <v>43385</v>
      </c>
      <c r="P15" s="5">
        <v>43411</v>
      </c>
      <c r="Q15" s="5">
        <v>43559</v>
      </c>
      <c r="R15" s="6">
        <v>43595</v>
      </c>
      <c r="S15" s="154"/>
      <c r="T15" s="112"/>
      <c r="U15" s="112"/>
      <c r="V15" s="112"/>
      <c r="W15" s="112"/>
      <c r="X15" s="112"/>
      <c r="Y15" s="140">
        <v>43385</v>
      </c>
      <c r="Z15" s="140">
        <v>43411</v>
      </c>
      <c r="AA15" s="7">
        <v>43559</v>
      </c>
      <c r="AB15" s="7">
        <v>43595</v>
      </c>
      <c r="AC15" s="7"/>
      <c r="AD15" s="7"/>
      <c r="AE15" s="7"/>
      <c r="AF15" s="7"/>
      <c r="AG15" s="7"/>
      <c r="AH15" s="121">
        <v>1</v>
      </c>
      <c r="AI15" s="149">
        <v>5</v>
      </c>
      <c r="AJ15" s="124">
        <v>1</v>
      </c>
      <c r="AK15" s="121"/>
      <c r="AL15" s="121"/>
      <c r="AM15" s="121"/>
      <c r="AN15" s="121"/>
      <c r="AO15" s="121"/>
      <c r="AP15" s="121"/>
      <c r="AQ15" s="125">
        <v>924.80000000000007</v>
      </c>
      <c r="AR15" s="125">
        <v>1744.6000000000001</v>
      </c>
      <c r="AS15" s="126">
        <v>1128.8</v>
      </c>
      <c r="AT15" s="126">
        <v>2232</v>
      </c>
      <c r="AU15" s="127"/>
      <c r="AV15" s="127"/>
      <c r="AW15" s="127"/>
      <c r="AX15" s="127"/>
      <c r="AY15" s="127"/>
      <c r="AZ15" s="125">
        <v>3.3000000000000003</v>
      </c>
      <c r="BA15" s="125">
        <v>4.2</v>
      </c>
      <c r="BB15" s="127">
        <v>2.15</v>
      </c>
      <c r="BC15" s="127">
        <v>30</v>
      </c>
      <c r="BD15" s="127"/>
      <c r="BE15" s="127"/>
      <c r="BF15" s="127"/>
      <c r="BG15" s="127"/>
      <c r="BH15" s="127"/>
      <c r="BI15" s="125">
        <v>37.14</v>
      </c>
      <c r="BJ15" s="125">
        <v>42.78</v>
      </c>
      <c r="BK15" s="127">
        <v>29.4</v>
      </c>
      <c r="BL15" s="127">
        <v>66.069999999999993</v>
      </c>
      <c r="BM15" s="127"/>
      <c r="BN15" s="127"/>
      <c r="BO15" s="127"/>
      <c r="BP15" s="127"/>
      <c r="BQ15" s="127"/>
      <c r="BR15" s="125">
        <v>1263.81</v>
      </c>
      <c r="BS15" s="125">
        <v>731.05</v>
      </c>
      <c r="BT15" s="127">
        <v>1079.76</v>
      </c>
      <c r="BU15" s="127">
        <v>771.38</v>
      </c>
      <c r="BV15" s="127"/>
      <c r="BW15" s="127"/>
      <c r="BX15" s="127"/>
      <c r="BY15" s="127"/>
      <c r="BZ15" s="127"/>
      <c r="CA15" s="9">
        <v>41</v>
      </c>
      <c r="CB15" s="7">
        <v>43356</v>
      </c>
      <c r="CC15" s="9">
        <f t="shared" si="0"/>
        <v>-1</v>
      </c>
      <c r="CD15" s="9">
        <v>39</v>
      </c>
      <c r="CE15" s="137">
        <v>43385</v>
      </c>
      <c r="CF15" s="128">
        <f t="shared" si="1"/>
        <v>5</v>
      </c>
      <c r="CG15" s="128"/>
      <c r="CH15" s="39">
        <v>39</v>
      </c>
      <c r="CI15" s="40">
        <v>43383</v>
      </c>
      <c r="CJ15" s="18">
        <v>0</v>
      </c>
      <c r="CK15" s="41">
        <v>38</v>
      </c>
      <c r="CL15" s="42">
        <v>43531</v>
      </c>
      <c r="CM15" s="23">
        <v>5</v>
      </c>
      <c r="CN15" s="39">
        <v>29</v>
      </c>
      <c r="CO15" s="46">
        <v>43829</v>
      </c>
      <c r="CP15" s="24">
        <v>15</v>
      </c>
      <c r="CQ15" s="34"/>
      <c r="CR15" s="34"/>
      <c r="CS15" s="36"/>
      <c r="CT15" s="39"/>
      <c r="CU15" s="46"/>
      <c r="CV15" s="29"/>
      <c r="CW15" s="9"/>
      <c r="CX15" s="7"/>
      <c r="CY15" s="9"/>
      <c r="CZ15" s="127">
        <f t="shared" si="3"/>
        <v>0.69230769230769229</v>
      </c>
      <c r="DA15" s="127">
        <f t="shared" si="4"/>
        <v>0.69230769230769229</v>
      </c>
      <c r="DB15" s="127">
        <f t="shared" si="5"/>
        <v>2</v>
      </c>
      <c r="DC15" s="127"/>
      <c r="DD15" s="127">
        <f t="shared" si="7"/>
        <v>0.66666666666666663</v>
      </c>
      <c r="DE15" s="9">
        <f t="shared" si="8"/>
        <v>15</v>
      </c>
      <c r="DF15" s="127">
        <f t="shared" si="9"/>
        <v>0.75</v>
      </c>
      <c r="DG15" s="9">
        <f t="shared" si="10"/>
        <v>16</v>
      </c>
      <c r="DH15" s="129">
        <f t="shared" si="11"/>
        <v>-1.3333333333333335</v>
      </c>
      <c r="DI15" s="129"/>
      <c r="DJ15" s="129">
        <f t="shared" si="13"/>
        <v>5.7692307692307709E-2</v>
      </c>
      <c r="DK15" s="9"/>
      <c r="DL15" s="7"/>
      <c r="DM15" s="9"/>
      <c r="DN15" s="7"/>
      <c r="DO15" s="9">
        <f t="shared" si="14"/>
        <v>12</v>
      </c>
      <c r="DP15" s="114">
        <f t="shared" si="15"/>
        <v>13</v>
      </c>
      <c r="DQ15" s="114">
        <f t="shared" si="16"/>
        <v>1</v>
      </c>
      <c r="DR15" s="131">
        <v>1</v>
      </c>
      <c r="DS15" s="132">
        <v>5</v>
      </c>
      <c r="DT15" s="133">
        <v>6</v>
      </c>
      <c r="DU15" s="133">
        <v>1</v>
      </c>
      <c r="DV15" s="134">
        <v>7</v>
      </c>
      <c r="DW15" s="145"/>
      <c r="DX15" s="145"/>
      <c r="DY15" s="145"/>
      <c r="DZ15" s="145"/>
      <c r="EA15" s="145"/>
      <c r="EB15" s="145"/>
      <c r="EC15" s="145"/>
      <c r="ED15" s="145"/>
      <c r="EE15" s="145"/>
      <c r="EF15" s="136"/>
    </row>
    <row r="16" spans="1:136">
      <c r="A16" s="107">
        <v>2103</v>
      </c>
      <c r="B16" s="108" t="s">
        <v>13</v>
      </c>
      <c r="C16" s="109">
        <v>2690352</v>
      </c>
      <c r="D16" s="110" t="s">
        <v>331</v>
      </c>
      <c r="E16" s="148">
        <v>156</v>
      </c>
      <c r="F16" s="112" t="s">
        <v>318</v>
      </c>
      <c r="G16" s="112"/>
      <c r="H16" s="112"/>
      <c r="I16" s="112"/>
      <c r="J16" s="113">
        <v>43035</v>
      </c>
      <c r="K16" s="114">
        <v>47</v>
      </c>
      <c r="L16" s="112">
        <v>2</v>
      </c>
      <c r="M16" s="113">
        <v>42856</v>
      </c>
      <c r="N16" s="112">
        <v>4</v>
      </c>
      <c r="O16" s="137">
        <v>43119</v>
      </c>
      <c r="P16" s="5">
        <v>43145</v>
      </c>
      <c r="Q16" s="5">
        <v>43699</v>
      </c>
      <c r="R16" s="6">
        <v>43817</v>
      </c>
      <c r="S16" s="112"/>
      <c r="T16" s="112"/>
      <c r="U16" s="112"/>
      <c r="V16" s="112"/>
      <c r="W16" s="112"/>
      <c r="X16" s="112"/>
      <c r="Y16" s="140">
        <v>43119</v>
      </c>
      <c r="Z16" s="140">
        <v>43145</v>
      </c>
      <c r="AA16" s="7">
        <v>43699</v>
      </c>
      <c r="AB16" s="7">
        <v>43817</v>
      </c>
      <c r="AC16" s="7"/>
      <c r="AD16" s="7"/>
      <c r="AE16" s="7"/>
      <c r="AF16" s="7"/>
      <c r="AG16" s="7"/>
      <c r="AH16" s="121">
        <v>1</v>
      </c>
      <c r="AI16" s="149">
        <v>18</v>
      </c>
      <c r="AJ16" s="121">
        <v>4</v>
      </c>
      <c r="AK16" s="124"/>
      <c r="AL16" s="124"/>
      <c r="AM16" s="124"/>
      <c r="AN16" s="124"/>
      <c r="AO16" s="124"/>
      <c r="AP16" s="124"/>
      <c r="AQ16" s="125">
        <v>1593</v>
      </c>
      <c r="AR16" s="125">
        <v>2936.7000000000003</v>
      </c>
      <c r="AS16" s="126">
        <v>1209.2</v>
      </c>
      <c r="AT16" s="126">
        <v>294.3</v>
      </c>
      <c r="AU16" s="127"/>
      <c r="AV16" s="127"/>
      <c r="AW16" s="127"/>
      <c r="AX16" s="127"/>
      <c r="AY16" s="127"/>
      <c r="AZ16" s="125">
        <v>1.825</v>
      </c>
      <c r="BA16" s="125">
        <v>13.600000000000001</v>
      </c>
      <c r="BB16" s="127">
        <v>1.375</v>
      </c>
      <c r="BC16" s="127">
        <v>0</v>
      </c>
      <c r="BD16" s="127"/>
      <c r="BE16" s="127"/>
      <c r="BF16" s="127"/>
      <c r="BG16" s="127"/>
      <c r="BH16" s="127"/>
      <c r="BI16" s="125">
        <v>30.85</v>
      </c>
      <c r="BJ16" s="125">
        <v>45.62</v>
      </c>
      <c r="BK16" s="127">
        <v>26.65</v>
      </c>
      <c r="BL16" s="127">
        <v>17.3</v>
      </c>
      <c r="BM16" s="127"/>
      <c r="BN16" s="127"/>
      <c r="BO16" s="127"/>
      <c r="BP16" s="127"/>
      <c r="BQ16" s="127"/>
      <c r="BR16" s="125">
        <v>829.95</v>
      </c>
      <c r="BS16" s="125">
        <v>578.34</v>
      </c>
      <c r="BT16" s="127">
        <v>277.41000000000003</v>
      </c>
      <c r="BU16" s="127">
        <v>801.16</v>
      </c>
      <c r="BV16" s="127"/>
      <c r="BW16" s="127"/>
      <c r="BX16" s="127"/>
      <c r="BY16" s="127"/>
      <c r="BZ16" s="127"/>
      <c r="CA16" s="9">
        <v>47</v>
      </c>
      <c r="CB16" s="7">
        <v>43035</v>
      </c>
      <c r="CC16" s="9">
        <f t="shared" si="0"/>
        <v>-3</v>
      </c>
      <c r="CD16" s="9">
        <v>47</v>
      </c>
      <c r="CE16" s="137">
        <v>43119</v>
      </c>
      <c r="CF16" s="128">
        <f t="shared" si="1"/>
        <v>9</v>
      </c>
      <c r="CG16" s="128"/>
      <c r="CH16" s="32">
        <v>47</v>
      </c>
      <c r="CI16" s="33">
        <v>43119</v>
      </c>
      <c r="CJ16" s="18">
        <v>0</v>
      </c>
      <c r="CK16" s="53">
        <v>42</v>
      </c>
      <c r="CL16" s="35">
        <v>43395</v>
      </c>
      <c r="CM16" s="36">
        <v>9</v>
      </c>
      <c r="CN16" s="19">
        <v>36</v>
      </c>
      <c r="CO16" s="22">
        <v>43699</v>
      </c>
      <c r="CP16" s="23">
        <v>19</v>
      </c>
      <c r="CQ16" s="19">
        <v>33</v>
      </c>
      <c r="CR16" s="20">
        <v>43850</v>
      </c>
      <c r="CS16" s="24">
        <v>24</v>
      </c>
      <c r="CT16" s="19">
        <v>31</v>
      </c>
      <c r="CU16" s="20">
        <v>43934</v>
      </c>
      <c r="CV16" s="29">
        <v>27</v>
      </c>
      <c r="CW16" s="54"/>
      <c r="CX16" s="55"/>
      <c r="CY16" s="54"/>
      <c r="CZ16" s="127">
        <f t="shared" si="3"/>
        <v>0.1111111111111111</v>
      </c>
      <c r="DA16" s="127">
        <f t="shared" si="4"/>
        <v>0.1111111111111111</v>
      </c>
      <c r="DB16" s="127">
        <f t="shared" si="5"/>
        <v>0</v>
      </c>
      <c r="DC16" s="127"/>
      <c r="DD16" s="127">
        <f t="shared" si="7"/>
        <v>0.59259259259259256</v>
      </c>
      <c r="DE16" s="9">
        <f t="shared" si="8"/>
        <v>27</v>
      </c>
      <c r="DF16" s="127">
        <f t="shared" si="9"/>
        <v>0.55172413793103448</v>
      </c>
      <c r="DG16" s="9">
        <f t="shared" si="10"/>
        <v>29</v>
      </c>
      <c r="DH16" s="129">
        <f t="shared" si="11"/>
        <v>0.59259259259259256</v>
      </c>
      <c r="DI16" s="129"/>
      <c r="DJ16" s="129">
        <f t="shared" si="13"/>
        <v>0.44061302681992337</v>
      </c>
      <c r="DK16" s="9"/>
      <c r="DL16" s="7"/>
      <c r="DM16" s="9"/>
      <c r="DN16" s="7"/>
      <c r="DO16" s="9">
        <f t="shared" si="14"/>
        <v>6</v>
      </c>
      <c r="DP16" s="114">
        <f t="shared" si="15"/>
        <v>9</v>
      </c>
      <c r="DQ16" s="114">
        <f t="shared" si="16"/>
        <v>3</v>
      </c>
      <c r="DR16" s="131">
        <v>1</v>
      </c>
      <c r="DS16" s="132">
        <v>18</v>
      </c>
      <c r="DT16" s="133">
        <v>19</v>
      </c>
      <c r="DU16" s="133">
        <v>4</v>
      </c>
      <c r="DV16" s="134">
        <v>23</v>
      </c>
      <c r="DW16" s="145"/>
      <c r="DX16" s="145"/>
      <c r="DY16" s="145"/>
      <c r="DZ16" s="145"/>
      <c r="EA16" s="145"/>
      <c r="EB16" s="145"/>
      <c r="EC16" s="145"/>
      <c r="ED16" s="145"/>
      <c r="EE16" s="145"/>
      <c r="EF16" s="136"/>
    </row>
    <row r="17" spans="1:136">
      <c r="A17" s="107">
        <v>2383</v>
      </c>
      <c r="B17" s="142" t="s">
        <v>12</v>
      </c>
      <c r="C17" s="109">
        <v>2737578</v>
      </c>
      <c r="D17" s="110" t="s">
        <v>330</v>
      </c>
      <c r="E17" s="111">
        <v>196</v>
      </c>
      <c r="F17" s="112" t="s">
        <v>313</v>
      </c>
      <c r="G17" s="112">
        <v>1</v>
      </c>
      <c r="H17" s="112" t="s">
        <v>314</v>
      </c>
      <c r="I17" s="112"/>
      <c r="J17" s="113">
        <v>43426</v>
      </c>
      <c r="K17" s="114">
        <v>43</v>
      </c>
      <c r="L17" s="112">
        <v>0</v>
      </c>
      <c r="M17" s="113">
        <v>43221</v>
      </c>
      <c r="N17" s="112">
        <v>4</v>
      </c>
      <c r="O17" s="137">
        <v>43454</v>
      </c>
      <c r="P17" s="5">
        <v>43480</v>
      </c>
      <c r="Q17" s="5">
        <v>43707</v>
      </c>
      <c r="R17" s="6">
        <v>43746</v>
      </c>
      <c r="S17" s="112"/>
      <c r="T17" s="112"/>
      <c r="U17" s="112"/>
      <c r="V17" s="112"/>
      <c r="W17" s="112"/>
      <c r="X17" s="112"/>
      <c r="Y17" s="140">
        <v>43454</v>
      </c>
      <c r="Z17" s="140">
        <v>43480</v>
      </c>
      <c r="AA17" s="7">
        <v>43707</v>
      </c>
      <c r="AB17" s="7">
        <v>43746</v>
      </c>
      <c r="AC17" s="7"/>
      <c r="AD17" s="7"/>
      <c r="AE17" s="7"/>
      <c r="AF17" s="7"/>
      <c r="AG17" s="7"/>
      <c r="AH17" s="121">
        <v>1</v>
      </c>
      <c r="AI17" s="149">
        <v>7</v>
      </c>
      <c r="AJ17" s="124">
        <v>2</v>
      </c>
      <c r="AK17" s="124"/>
      <c r="AL17" s="124"/>
      <c r="AM17" s="124"/>
      <c r="AN17" s="124"/>
      <c r="AO17" s="124"/>
      <c r="AP17" s="124"/>
      <c r="AQ17" s="125">
        <v>555.1</v>
      </c>
      <c r="AR17" s="125">
        <v>4999</v>
      </c>
      <c r="AS17" s="126">
        <v>1272.0999999999999</v>
      </c>
      <c r="AT17" s="126">
        <v>1635.9</v>
      </c>
      <c r="AU17" s="127"/>
      <c r="AV17" s="127"/>
      <c r="AW17" s="127"/>
      <c r="AX17" s="127"/>
      <c r="AY17" s="127"/>
      <c r="AZ17" s="125">
        <v>2.15</v>
      </c>
      <c r="BA17" s="125">
        <v>28.900000000000002</v>
      </c>
      <c r="BB17" s="127">
        <v>1.9</v>
      </c>
      <c r="BC17" s="127">
        <v>8.2249999999999996</v>
      </c>
      <c r="BD17" s="127"/>
      <c r="BE17" s="127"/>
      <c r="BF17" s="127"/>
      <c r="BG17" s="127"/>
      <c r="BH17" s="127"/>
      <c r="BI17" s="125">
        <v>35.119999999999997</v>
      </c>
      <c r="BJ17" s="125">
        <v>157.83000000000001</v>
      </c>
      <c r="BK17" s="127">
        <v>30.54</v>
      </c>
      <c r="BL17" s="127">
        <v>55.24</v>
      </c>
      <c r="BM17" s="127"/>
      <c r="BN17" s="127"/>
      <c r="BO17" s="127"/>
      <c r="BP17" s="127"/>
      <c r="BQ17" s="127"/>
      <c r="BR17" s="125">
        <v>870.65</v>
      </c>
      <c r="BS17" s="125">
        <v>1990.28</v>
      </c>
      <c r="BT17" s="127">
        <v>1475.54</v>
      </c>
      <c r="BU17" s="127">
        <v>523.08000000000004</v>
      </c>
      <c r="BV17" s="127"/>
      <c r="BW17" s="127"/>
      <c r="BX17" s="127"/>
      <c r="BY17" s="127"/>
      <c r="BZ17" s="127"/>
      <c r="CA17" s="9">
        <v>43</v>
      </c>
      <c r="CB17" s="7">
        <v>43426</v>
      </c>
      <c r="CC17" s="9">
        <f t="shared" si="0"/>
        <v>-1</v>
      </c>
      <c r="CD17" s="9">
        <v>43</v>
      </c>
      <c r="CE17" s="137">
        <v>43454</v>
      </c>
      <c r="CF17" s="128">
        <f t="shared" si="1"/>
        <v>1</v>
      </c>
      <c r="CG17" s="128">
        <f t="shared" ref="CG17:CG25" si="17">ROUND((CO17-CE17)/30.5,0)</f>
        <v>8</v>
      </c>
      <c r="CH17" s="50">
        <v>43</v>
      </c>
      <c r="CI17" s="51">
        <v>43454</v>
      </c>
      <c r="CJ17" s="18">
        <v>0</v>
      </c>
      <c r="CK17" s="50">
        <v>43</v>
      </c>
      <c r="CL17" s="52">
        <v>43480</v>
      </c>
      <c r="CM17" s="21">
        <v>1</v>
      </c>
      <c r="CN17" s="50">
        <v>39</v>
      </c>
      <c r="CO17" s="51">
        <v>43707</v>
      </c>
      <c r="CP17" s="23">
        <v>8</v>
      </c>
      <c r="CQ17" s="39">
        <v>39</v>
      </c>
      <c r="CR17" s="46">
        <v>43756</v>
      </c>
      <c r="CS17" s="24">
        <v>10</v>
      </c>
      <c r="CT17" s="39"/>
      <c r="CU17" s="46"/>
      <c r="CV17" s="29"/>
      <c r="CW17" s="9"/>
      <c r="CX17" s="7"/>
      <c r="CY17" s="9"/>
      <c r="CZ17" s="127">
        <f t="shared" si="3"/>
        <v>0.625</v>
      </c>
      <c r="DA17" s="127">
        <f t="shared" si="4"/>
        <v>0.625</v>
      </c>
      <c r="DB17" s="127">
        <f t="shared" si="5"/>
        <v>0</v>
      </c>
      <c r="DC17" s="127">
        <f t="shared" ref="DC17:DC25" si="18">(CD17-MIN(CK17,CN17))/MAX(CF17,CG17)</f>
        <v>0.5</v>
      </c>
      <c r="DD17" s="127">
        <f t="shared" si="7"/>
        <v>0.4</v>
      </c>
      <c r="DE17" s="9">
        <f t="shared" si="8"/>
        <v>10</v>
      </c>
      <c r="DF17" s="127">
        <f t="shared" si="9"/>
        <v>0.36363636363636365</v>
      </c>
      <c r="DG17" s="9">
        <f t="shared" si="10"/>
        <v>11</v>
      </c>
      <c r="DH17" s="129">
        <f t="shared" si="11"/>
        <v>0.4</v>
      </c>
      <c r="DI17" s="130">
        <f t="shared" ref="DI17:DI25" si="19">DC17-DB17</f>
        <v>0.5</v>
      </c>
      <c r="DJ17" s="129">
        <f t="shared" si="13"/>
        <v>-0.26136363636363635</v>
      </c>
      <c r="DK17" s="9"/>
      <c r="DL17" s="7"/>
      <c r="DM17" s="9"/>
      <c r="DN17" s="7"/>
      <c r="DO17" s="9">
        <f t="shared" si="14"/>
        <v>7</v>
      </c>
      <c r="DP17" s="114">
        <f t="shared" si="15"/>
        <v>8</v>
      </c>
      <c r="DQ17" s="114">
        <f t="shared" si="16"/>
        <v>1</v>
      </c>
      <c r="DR17" s="131">
        <v>1</v>
      </c>
      <c r="DS17" s="132">
        <v>7</v>
      </c>
      <c r="DT17" s="133">
        <v>8</v>
      </c>
      <c r="DU17" s="133">
        <v>1</v>
      </c>
      <c r="DV17" s="134">
        <v>10</v>
      </c>
      <c r="DW17" s="145"/>
      <c r="DX17" s="145"/>
      <c r="DY17" s="145"/>
      <c r="DZ17" s="145"/>
      <c r="EA17" s="145"/>
      <c r="EB17" s="145"/>
      <c r="EC17" s="145"/>
      <c r="ED17" s="145"/>
      <c r="EE17" s="145"/>
      <c r="EF17" s="136"/>
    </row>
    <row r="18" spans="1:136">
      <c r="A18" s="112">
        <v>1748</v>
      </c>
      <c r="B18" s="142" t="s">
        <v>14</v>
      </c>
      <c r="C18" s="146">
        <v>2621393</v>
      </c>
      <c r="D18" s="147" t="s">
        <v>332</v>
      </c>
      <c r="E18" s="111">
        <v>103</v>
      </c>
      <c r="F18" s="112" t="s">
        <v>313</v>
      </c>
      <c r="G18" s="112"/>
      <c r="H18" s="112" t="s">
        <v>314</v>
      </c>
      <c r="I18" s="112"/>
      <c r="J18" s="113">
        <v>42459</v>
      </c>
      <c r="K18" s="114">
        <v>37</v>
      </c>
      <c r="L18" s="112">
        <v>0</v>
      </c>
      <c r="M18" s="113">
        <v>41487</v>
      </c>
      <c r="N18" s="112">
        <v>3</v>
      </c>
      <c r="O18" s="137">
        <v>42488</v>
      </c>
      <c r="P18" s="5">
        <v>42514</v>
      </c>
      <c r="Q18" s="5">
        <v>42760</v>
      </c>
      <c r="R18" s="154"/>
      <c r="S18" s="112"/>
      <c r="T18" s="112"/>
      <c r="U18" s="112"/>
      <c r="V18" s="112"/>
      <c r="W18" s="112"/>
      <c r="X18" s="112"/>
      <c r="Y18" s="140">
        <v>42488</v>
      </c>
      <c r="Z18" s="140">
        <v>42514</v>
      </c>
      <c r="AA18" s="7">
        <v>42760</v>
      </c>
      <c r="AB18" s="7"/>
      <c r="AC18" s="7"/>
      <c r="AD18" s="7"/>
      <c r="AE18" s="7"/>
      <c r="AF18" s="7"/>
      <c r="AG18" s="7"/>
      <c r="AH18" s="121">
        <v>1</v>
      </c>
      <c r="AI18" s="124">
        <v>8</v>
      </c>
      <c r="AJ18" s="124"/>
      <c r="AK18" s="121"/>
      <c r="AL18" s="121"/>
      <c r="AM18" s="121"/>
      <c r="AN18" s="121"/>
      <c r="AO18" s="121"/>
      <c r="AP18" s="121"/>
      <c r="AQ18" s="125">
        <v>958.6</v>
      </c>
      <c r="AR18" s="125">
        <v>1474</v>
      </c>
      <c r="AS18" s="126">
        <v>1500.6999999999998</v>
      </c>
      <c r="AT18" s="126"/>
      <c r="AU18" s="127"/>
      <c r="AV18" s="127"/>
      <c r="AW18" s="127"/>
      <c r="AX18" s="127"/>
      <c r="AY18" s="127"/>
      <c r="AZ18" s="125">
        <v>4.6750000000000007</v>
      </c>
      <c r="BA18" s="125">
        <v>11.299999999999999</v>
      </c>
      <c r="BB18" s="127">
        <v>4.0500000000000007</v>
      </c>
      <c r="BC18" s="127"/>
      <c r="BD18" s="127"/>
      <c r="BE18" s="127"/>
      <c r="BF18" s="127"/>
      <c r="BG18" s="127"/>
      <c r="BH18" s="127"/>
      <c r="BI18" s="125">
        <v>43.15</v>
      </c>
      <c r="BJ18" s="125">
        <v>99.05</v>
      </c>
      <c r="BK18" s="127">
        <v>43.55</v>
      </c>
      <c r="BL18" s="127"/>
      <c r="BM18" s="127"/>
      <c r="BN18" s="127"/>
      <c r="BO18" s="127"/>
      <c r="BP18" s="127"/>
      <c r="BQ18" s="127"/>
      <c r="BR18" s="125">
        <v>929.7</v>
      </c>
      <c r="BS18" s="125">
        <v>717.63</v>
      </c>
      <c r="BT18" s="127">
        <v>883.77</v>
      </c>
      <c r="BU18" s="127"/>
      <c r="BV18" s="127"/>
      <c r="BW18" s="127"/>
      <c r="BX18" s="127"/>
      <c r="BY18" s="127"/>
      <c r="BZ18" s="127"/>
      <c r="CA18" s="9">
        <v>37</v>
      </c>
      <c r="CB18" s="7">
        <v>42459</v>
      </c>
      <c r="CC18" s="9">
        <f t="shared" si="0"/>
        <v>-1</v>
      </c>
      <c r="CD18" s="9">
        <v>36</v>
      </c>
      <c r="CE18" s="137">
        <v>42488</v>
      </c>
      <c r="CF18" s="128">
        <f t="shared" si="1"/>
        <v>4</v>
      </c>
      <c r="CG18" s="128">
        <f t="shared" si="17"/>
        <v>8</v>
      </c>
      <c r="CH18" s="39">
        <v>36</v>
      </c>
      <c r="CI18" s="40">
        <v>42488</v>
      </c>
      <c r="CJ18" s="18">
        <v>0</v>
      </c>
      <c r="CK18" s="43">
        <v>36</v>
      </c>
      <c r="CL18" s="68">
        <v>42604</v>
      </c>
      <c r="CM18" s="56">
        <v>4</v>
      </c>
      <c r="CN18" s="41">
        <v>34</v>
      </c>
      <c r="CO18" s="42">
        <v>42733</v>
      </c>
      <c r="CP18" s="23">
        <v>8</v>
      </c>
      <c r="CQ18" s="43"/>
      <c r="CR18" s="44"/>
      <c r="CS18" s="45"/>
      <c r="CT18" s="39"/>
      <c r="CU18" s="46"/>
      <c r="CV18" s="29"/>
      <c r="CW18" s="9"/>
      <c r="CX18" s="7"/>
      <c r="CY18" s="9"/>
      <c r="CZ18" s="127">
        <f t="shared" si="3"/>
        <v>0.36363636363636365</v>
      </c>
      <c r="DA18" s="127">
        <f t="shared" si="4"/>
        <v>0.36363636363636365</v>
      </c>
      <c r="DB18" s="127">
        <f t="shared" si="5"/>
        <v>1</v>
      </c>
      <c r="DC18" s="127">
        <f t="shared" si="18"/>
        <v>0.25</v>
      </c>
      <c r="DD18" s="127">
        <f t="shared" si="7"/>
        <v>0.25</v>
      </c>
      <c r="DE18" s="9">
        <f t="shared" si="8"/>
        <v>8</v>
      </c>
      <c r="DF18" s="127">
        <f t="shared" si="9"/>
        <v>0.33333333333333331</v>
      </c>
      <c r="DG18" s="9">
        <f t="shared" si="10"/>
        <v>9</v>
      </c>
      <c r="DH18" s="129">
        <f t="shared" si="11"/>
        <v>-0.75</v>
      </c>
      <c r="DI18" s="152">
        <f t="shared" si="19"/>
        <v>-0.75</v>
      </c>
      <c r="DJ18" s="129">
        <f t="shared" si="13"/>
        <v>-3.0303030303030332E-2</v>
      </c>
      <c r="DK18" s="9"/>
      <c r="DL18" s="7"/>
      <c r="DM18" s="9"/>
      <c r="DN18" s="7"/>
      <c r="DO18" s="9">
        <f t="shared" si="14"/>
        <v>32</v>
      </c>
      <c r="DP18" s="114">
        <f t="shared" si="15"/>
        <v>33</v>
      </c>
      <c r="DQ18" s="114">
        <f t="shared" si="16"/>
        <v>1</v>
      </c>
      <c r="DR18" s="131">
        <v>1</v>
      </c>
      <c r="DS18" s="132">
        <v>8</v>
      </c>
      <c r="DT18" s="133">
        <v>9</v>
      </c>
      <c r="DU18" s="145"/>
      <c r="DV18" s="145"/>
      <c r="DW18" s="145"/>
      <c r="DX18" s="145"/>
      <c r="DY18" s="145"/>
      <c r="DZ18" s="145"/>
      <c r="EA18" s="145"/>
      <c r="EB18" s="145"/>
      <c r="EC18" s="145"/>
      <c r="ED18" s="145"/>
      <c r="EE18" s="145"/>
      <c r="EF18" s="136"/>
    </row>
    <row r="19" spans="1:136">
      <c r="A19" s="107">
        <v>2445</v>
      </c>
      <c r="B19" s="142" t="s">
        <v>16</v>
      </c>
      <c r="C19" s="109">
        <v>2745168</v>
      </c>
      <c r="D19" s="110" t="s">
        <v>334</v>
      </c>
      <c r="E19" s="111">
        <v>207</v>
      </c>
      <c r="F19" s="112" t="s">
        <v>313</v>
      </c>
      <c r="G19" s="112">
        <v>1</v>
      </c>
      <c r="H19" s="112" t="s">
        <v>314</v>
      </c>
      <c r="I19" s="112" t="s">
        <v>335</v>
      </c>
      <c r="J19" s="113">
        <v>43504</v>
      </c>
      <c r="K19" s="114">
        <v>42</v>
      </c>
      <c r="L19" s="112">
        <v>1</v>
      </c>
      <c r="M19" s="113">
        <v>42370</v>
      </c>
      <c r="N19" s="112">
        <v>3</v>
      </c>
      <c r="O19" s="137">
        <v>43532</v>
      </c>
      <c r="P19" s="5">
        <v>43558</v>
      </c>
      <c r="Q19" s="5">
        <v>43740</v>
      </c>
      <c r="R19" s="112"/>
      <c r="S19" s="112"/>
      <c r="T19" s="112"/>
      <c r="U19" s="112"/>
      <c r="V19" s="112"/>
      <c r="W19" s="112"/>
      <c r="X19" s="112"/>
      <c r="Y19" s="140">
        <v>43532</v>
      </c>
      <c r="Z19" s="140">
        <v>43558</v>
      </c>
      <c r="AA19" s="7">
        <v>43740</v>
      </c>
      <c r="AB19" s="7"/>
      <c r="AC19" s="7"/>
      <c r="AD19" s="7"/>
      <c r="AE19" s="7"/>
      <c r="AF19" s="7"/>
      <c r="AG19" s="7"/>
      <c r="AH19" s="121">
        <v>1</v>
      </c>
      <c r="AI19" s="124">
        <v>6</v>
      </c>
      <c r="AJ19" s="124"/>
      <c r="AK19" s="124"/>
      <c r="AL19" s="124"/>
      <c r="AM19" s="124"/>
      <c r="AN19" s="124"/>
      <c r="AO19" s="124"/>
      <c r="AP19" s="124"/>
      <c r="AQ19" s="125">
        <v>725</v>
      </c>
      <c r="AR19" s="125">
        <v>2763.2</v>
      </c>
      <c r="AS19" s="126">
        <v>1130</v>
      </c>
      <c r="AT19" s="126"/>
      <c r="AU19" s="127"/>
      <c r="AV19" s="127"/>
      <c r="AW19" s="127"/>
      <c r="AX19" s="127"/>
      <c r="AY19" s="127"/>
      <c r="AZ19" s="125">
        <v>4.6750000000000007</v>
      </c>
      <c r="BA19" s="125">
        <v>19.574999999999999</v>
      </c>
      <c r="BB19" s="127">
        <v>5.3000000000000007</v>
      </c>
      <c r="BC19" s="127"/>
      <c r="BD19" s="127"/>
      <c r="BE19" s="127"/>
      <c r="BF19" s="127"/>
      <c r="BG19" s="127"/>
      <c r="BH19" s="127"/>
      <c r="BI19" s="125">
        <v>62.1</v>
      </c>
      <c r="BJ19" s="125">
        <v>50.64</v>
      </c>
      <c r="BK19" s="127">
        <v>57.52</v>
      </c>
      <c r="BL19" s="127"/>
      <c r="BM19" s="127"/>
      <c r="BN19" s="127"/>
      <c r="BO19" s="127"/>
      <c r="BP19" s="127"/>
      <c r="BQ19" s="127"/>
      <c r="BR19" s="125">
        <v>987.25</v>
      </c>
      <c r="BS19" s="125">
        <v>335.6</v>
      </c>
      <c r="BT19" s="127">
        <v>868.33</v>
      </c>
      <c r="BU19" s="127"/>
      <c r="BV19" s="127"/>
      <c r="BW19" s="127"/>
      <c r="BX19" s="127"/>
      <c r="BY19" s="127"/>
      <c r="BZ19" s="127"/>
      <c r="CA19" s="9">
        <v>42</v>
      </c>
      <c r="CB19" s="7">
        <v>43504</v>
      </c>
      <c r="CC19" s="9">
        <f t="shared" si="0"/>
        <v>-1</v>
      </c>
      <c r="CD19" s="9">
        <v>42</v>
      </c>
      <c r="CE19" s="137">
        <v>43532</v>
      </c>
      <c r="CF19" s="128">
        <f t="shared" si="1"/>
        <v>1</v>
      </c>
      <c r="CG19" s="128">
        <f t="shared" si="17"/>
        <v>7</v>
      </c>
      <c r="CH19" s="39">
        <v>42</v>
      </c>
      <c r="CI19" s="57">
        <v>43532</v>
      </c>
      <c r="CJ19" s="18">
        <v>0</v>
      </c>
      <c r="CK19" s="50">
        <v>42</v>
      </c>
      <c r="CL19" s="58">
        <v>43558</v>
      </c>
      <c r="CM19" s="21">
        <v>1</v>
      </c>
      <c r="CN19" s="50">
        <v>42</v>
      </c>
      <c r="CO19" s="57">
        <v>43740</v>
      </c>
      <c r="CP19" s="23">
        <v>7</v>
      </c>
      <c r="CQ19" s="39"/>
      <c r="CR19" s="46"/>
      <c r="CS19" s="24"/>
      <c r="CT19" s="39"/>
      <c r="CU19" s="46"/>
      <c r="CV19" s="29"/>
      <c r="CW19" s="9"/>
      <c r="CX19" s="7"/>
      <c r="CY19" s="9"/>
      <c r="CZ19" s="127">
        <f t="shared" si="3"/>
        <v>0.15789473684210525</v>
      </c>
      <c r="DA19" s="127">
        <f t="shared" si="4"/>
        <v>0.15789473684210525</v>
      </c>
      <c r="DB19" s="127">
        <f t="shared" si="5"/>
        <v>0</v>
      </c>
      <c r="DC19" s="127">
        <f t="shared" si="18"/>
        <v>0</v>
      </c>
      <c r="DD19" s="127">
        <f t="shared" si="7"/>
        <v>0</v>
      </c>
      <c r="DE19" s="9">
        <f t="shared" si="8"/>
        <v>7</v>
      </c>
      <c r="DF19" s="127">
        <f t="shared" si="9"/>
        <v>0</v>
      </c>
      <c r="DG19" s="9">
        <f t="shared" si="10"/>
        <v>8</v>
      </c>
      <c r="DH19" s="129">
        <f t="shared" si="11"/>
        <v>0</v>
      </c>
      <c r="DI19" s="144">
        <f t="shared" si="19"/>
        <v>0</v>
      </c>
      <c r="DJ19" s="129">
        <f t="shared" si="13"/>
        <v>-0.15789473684210525</v>
      </c>
      <c r="DK19" s="9"/>
      <c r="DL19" s="7"/>
      <c r="DM19" s="9"/>
      <c r="DN19" s="7"/>
      <c r="DO19" s="9">
        <f t="shared" si="14"/>
        <v>37</v>
      </c>
      <c r="DP19" s="114">
        <f t="shared" si="15"/>
        <v>38</v>
      </c>
      <c r="DQ19" s="114">
        <f t="shared" si="16"/>
        <v>1</v>
      </c>
      <c r="DR19" s="131">
        <v>1</v>
      </c>
      <c r="DS19" s="132">
        <v>6</v>
      </c>
      <c r="DT19" s="133">
        <v>7</v>
      </c>
      <c r="DU19" s="145"/>
      <c r="DV19" s="145"/>
      <c r="DW19" s="145"/>
      <c r="DX19" s="145"/>
      <c r="DY19" s="145"/>
      <c r="DZ19" s="145"/>
      <c r="EA19" s="145"/>
      <c r="EB19" s="145"/>
      <c r="EC19" s="145"/>
      <c r="ED19" s="145"/>
      <c r="EE19" s="145"/>
      <c r="EF19" s="136"/>
    </row>
    <row r="20" spans="1:136">
      <c r="A20" s="107">
        <v>2533</v>
      </c>
      <c r="B20" s="108" t="s">
        <v>77</v>
      </c>
      <c r="C20" s="109">
        <v>2759026</v>
      </c>
      <c r="D20" s="110" t="s">
        <v>414</v>
      </c>
      <c r="E20" s="111">
        <v>226</v>
      </c>
      <c r="F20" s="112" t="s">
        <v>313</v>
      </c>
      <c r="G20" s="112"/>
      <c r="H20" s="112" t="s">
        <v>314</v>
      </c>
      <c r="I20" s="112"/>
      <c r="J20" s="113">
        <v>43602</v>
      </c>
      <c r="K20" s="114">
        <v>36</v>
      </c>
      <c r="L20" s="112">
        <v>0</v>
      </c>
      <c r="M20" s="113">
        <v>42675</v>
      </c>
      <c r="N20" s="112">
        <v>3</v>
      </c>
      <c r="O20" s="137">
        <v>43630</v>
      </c>
      <c r="P20" s="5">
        <v>43693</v>
      </c>
      <c r="Q20" s="5">
        <v>43740</v>
      </c>
      <c r="R20" s="112"/>
      <c r="S20" s="112"/>
      <c r="T20" s="112"/>
      <c r="U20" s="112"/>
      <c r="V20" s="112"/>
      <c r="W20" s="112"/>
      <c r="X20" s="112"/>
      <c r="Y20" s="140">
        <v>43630</v>
      </c>
      <c r="Z20" s="140">
        <v>43693</v>
      </c>
      <c r="AA20" s="7">
        <v>43740</v>
      </c>
      <c r="AB20" s="7"/>
      <c r="AC20" s="7"/>
      <c r="AD20" s="7"/>
      <c r="AE20" s="7"/>
      <c r="AF20" s="7"/>
      <c r="AG20" s="7"/>
      <c r="AH20" s="121">
        <v>2</v>
      </c>
      <c r="AI20" s="124">
        <v>2</v>
      </c>
      <c r="AJ20" s="121"/>
      <c r="AK20" s="124"/>
      <c r="AL20" s="124"/>
      <c r="AM20" s="124"/>
      <c r="AN20" s="124"/>
      <c r="AO20" s="124"/>
      <c r="AP20" s="124"/>
      <c r="AQ20" s="125">
        <v>960.90000000000009</v>
      </c>
      <c r="AR20" s="125">
        <v>1000.3</v>
      </c>
      <c r="AS20" s="126">
        <v>1361</v>
      </c>
      <c r="AT20" s="126"/>
      <c r="AU20" s="127"/>
      <c r="AV20" s="127"/>
      <c r="AW20" s="127"/>
      <c r="AX20" s="127"/>
      <c r="AY20" s="127"/>
      <c r="AZ20" s="125">
        <v>4.6750000000000007</v>
      </c>
      <c r="BA20" s="125">
        <v>6.7249999999999996</v>
      </c>
      <c r="BB20" s="127">
        <v>4.4749999999999996</v>
      </c>
      <c r="BC20" s="127"/>
      <c r="BD20" s="127"/>
      <c r="BE20" s="127"/>
      <c r="BF20" s="127"/>
      <c r="BG20" s="127"/>
      <c r="BH20" s="127"/>
      <c r="BI20" s="125">
        <v>43.13</v>
      </c>
      <c r="BJ20" s="125">
        <v>57.34</v>
      </c>
      <c r="BK20" s="127">
        <v>69.510000000000005</v>
      </c>
      <c r="BL20" s="127"/>
      <c r="BM20" s="127"/>
      <c r="BN20" s="127"/>
      <c r="BO20" s="127"/>
      <c r="BP20" s="127"/>
      <c r="BQ20" s="127"/>
      <c r="BR20" s="125">
        <v>1307.51</v>
      </c>
      <c r="BS20" s="125">
        <v>1207.54</v>
      </c>
      <c r="BT20" s="127">
        <v>1231.42</v>
      </c>
      <c r="BU20" s="127"/>
      <c r="BV20" s="127"/>
      <c r="BW20" s="127"/>
      <c r="BX20" s="127"/>
      <c r="BY20" s="127"/>
      <c r="BZ20" s="127"/>
      <c r="CA20" s="9">
        <v>36</v>
      </c>
      <c r="CB20" s="7">
        <v>43602</v>
      </c>
      <c r="CC20" s="9">
        <f t="shared" si="0"/>
        <v>-1</v>
      </c>
      <c r="CD20" s="9">
        <v>35</v>
      </c>
      <c r="CE20" s="137">
        <v>43630</v>
      </c>
      <c r="CF20" s="128">
        <f t="shared" si="1"/>
        <v>2</v>
      </c>
      <c r="CG20" s="128">
        <f t="shared" si="17"/>
        <v>4</v>
      </c>
      <c r="CH20" s="50">
        <v>35</v>
      </c>
      <c r="CI20" s="51">
        <v>43630</v>
      </c>
      <c r="CJ20" s="18">
        <v>0</v>
      </c>
      <c r="CK20" s="50">
        <v>34</v>
      </c>
      <c r="CL20" s="52">
        <v>43693</v>
      </c>
      <c r="CM20" s="21">
        <v>2</v>
      </c>
      <c r="CN20" s="50">
        <v>31</v>
      </c>
      <c r="CO20" s="51">
        <v>43740</v>
      </c>
      <c r="CP20" s="23">
        <v>4</v>
      </c>
      <c r="CQ20" s="39"/>
      <c r="CR20" s="46"/>
      <c r="CS20" s="24"/>
      <c r="CT20" s="39"/>
      <c r="CU20" s="46"/>
      <c r="CV20" s="29"/>
      <c r="CW20" s="9"/>
      <c r="CX20" s="7"/>
      <c r="CY20" s="9"/>
      <c r="CZ20" s="127">
        <f t="shared" si="3"/>
        <v>0.41935483870967744</v>
      </c>
      <c r="DA20" s="127">
        <f t="shared" si="4"/>
        <v>0.41935483870967744</v>
      </c>
      <c r="DB20" s="127">
        <f t="shared" si="5"/>
        <v>1</v>
      </c>
      <c r="DC20" s="127">
        <f t="shared" si="18"/>
        <v>1</v>
      </c>
      <c r="DD20" s="127">
        <f t="shared" si="7"/>
        <v>1</v>
      </c>
      <c r="DE20" s="9">
        <f t="shared" si="8"/>
        <v>4</v>
      </c>
      <c r="DF20" s="127">
        <f t="shared" si="9"/>
        <v>1</v>
      </c>
      <c r="DG20" s="9">
        <f t="shared" si="10"/>
        <v>5</v>
      </c>
      <c r="DH20" s="129">
        <f t="shared" si="11"/>
        <v>0</v>
      </c>
      <c r="DI20" s="144">
        <f t="shared" si="19"/>
        <v>0</v>
      </c>
      <c r="DJ20" s="129">
        <f t="shared" si="13"/>
        <v>0.58064516129032251</v>
      </c>
      <c r="DK20" s="9"/>
      <c r="DL20" s="7"/>
      <c r="DM20" s="9"/>
      <c r="DN20" s="7"/>
      <c r="DO20" s="9">
        <f t="shared" si="14"/>
        <v>30</v>
      </c>
      <c r="DP20" s="114">
        <f t="shared" si="15"/>
        <v>31</v>
      </c>
      <c r="DQ20" s="114">
        <f t="shared" si="16"/>
        <v>1</v>
      </c>
      <c r="DR20" s="131">
        <v>2</v>
      </c>
      <c r="DS20" s="132">
        <v>2</v>
      </c>
      <c r="DT20" s="133">
        <v>4</v>
      </c>
      <c r="DU20" s="145"/>
      <c r="DV20" s="145"/>
      <c r="DW20" s="145"/>
      <c r="DX20" s="145"/>
      <c r="DY20" s="145"/>
      <c r="DZ20" s="145"/>
      <c r="EA20" s="145"/>
      <c r="EB20" s="145"/>
      <c r="EC20" s="145"/>
      <c r="ED20" s="145"/>
      <c r="EE20" s="145"/>
      <c r="EF20" s="136"/>
    </row>
    <row r="21" spans="1:136">
      <c r="A21" s="107">
        <v>2532</v>
      </c>
      <c r="B21" s="108" t="s">
        <v>76</v>
      </c>
      <c r="C21" s="109">
        <v>2758508</v>
      </c>
      <c r="D21" s="110" t="s">
        <v>413</v>
      </c>
      <c r="E21" s="111">
        <v>224</v>
      </c>
      <c r="F21" s="112" t="s">
        <v>313</v>
      </c>
      <c r="G21" s="112"/>
      <c r="H21" s="112" t="s">
        <v>314</v>
      </c>
      <c r="I21" s="112"/>
      <c r="J21" s="113">
        <v>43601</v>
      </c>
      <c r="K21" s="114">
        <v>31</v>
      </c>
      <c r="L21" s="112">
        <v>0</v>
      </c>
      <c r="M21" s="113">
        <v>42795</v>
      </c>
      <c r="N21" s="112">
        <v>3</v>
      </c>
      <c r="O21" s="137">
        <v>43629</v>
      </c>
      <c r="P21" s="5">
        <v>43700</v>
      </c>
      <c r="Q21" s="5">
        <v>43746</v>
      </c>
      <c r="R21" s="112"/>
      <c r="S21" s="112"/>
      <c r="T21" s="112"/>
      <c r="U21" s="112"/>
      <c r="V21" s="112"/>
      <c r="W21" s="112"/>
      <c r="X21" s="112"/>
      <c r="Y21" s="140">
        <v>43629</v>
      </c>
      <c r="Z21" s="140">
        <v>43700</v>
      </c>
      <c r="AA21" s="7">
        <v>43746</v>
      </c>
      <c r="AB21" s="7"/>
      <c r="AC21" s="7"/>
      <c r="AD21" s="7"/>
      <c r="AE21" s="7"/>
      <c r="AF21" s="7"/>
      <c r="AG21" s="7"/>
      <c r="AH21" s="121">
        <v>2</v>
      </c>
      <c r="AI21" s="124">
        <v>2</v>
      </c>
      <c r="AJ21" s="124"/>
      <c r="AK21" s="124"/>
      <c r="AL21" s="124"/>
      <c r="AM21" s="124"/>
      <c r="AN21" s="124"/>
      <c r="AO21" s="124"/>
      <c r="AP21" s="124"/>
      <c r="AQ21" s="125">
        <v>1086.8000000000002</v>
      </c>
      <c r="AR21" s="125">
        <v>1271</v>
      </c>
      <c r="AS21" s="126">
        <v>1442.8</v>
      </c>
      <c r="AT21" s="126"/>
      <c r="AU21" s="127"/>
      <c r="AV21" s="127"/>
      <c r="AW21" s="127"/>
      <c r="AX21" s="127"/>
      <c r="AY21" s="127"/>
      <c r="AZ21" s="125">
        <v>9.7249999999999996</v>
      </c>
      <c r="BA21" s="125">
        <v>7.35</v>
      </c>
      <c r="BB21" s="127">
        <v>11.675000000000001</v>
      </c>
      <c r="BC21" s="127"/>
      <c r="BD21" s="127"/>
      <c r="BE21" s="127"/>
      <c r="BF21" s="127"/>
      <c r="BG21" s="127"/>
      <c r="BH21" s="127"/>
      <c r="BI21" s="125">
        <v>77.13</v>
      </c>
      <c r="BJ21" s="125">
        <v>68.23</v>
      </c>
      <c r="BK21" s="127">
        <v>74.819999999999993</v>
      </c>
      <c r="BL21" s="127"/>
      <c r="BM21" s="127"/>
      <c r="BN21" s="127"/>
      <c r="BO21" s="127"/>
      <c r="BP21" s="127"/>
      <c r="BQ21" s="127"/>
      <c r="BR21" s="125">
        <v>897.8</v>
      </c>
      <c r="BS21" s="125">
        <v>583.76</v>
      </c>
      <c r="BT21" s="127">
        <v>482.52</v>
      </c>
      <c r="BU21" s="127"/>
      <c r="BV21" s="127"/>
      <c r="BW21" s="127"/>
      <c r="BX21" s="127"/>
      <c r="BY21" s="127"/>
      <c r="BZ21" s="127"/>
      <c r="CA21" s="9">
        <v>31</v>
      </c>
      <c r="CB21" s="7">
        <v>43601</v>
      </c>
      <c r="CC21" s="9">
        <f t="shared" si="0"/>
        <v>-1</v>
      </c>
      <c r="CD21" s="9">
        <v>29</v>
      </c>
      <c r="CE21" s="137">
        <v>43629</v>
      </c>
      <c r="CF21" s="128">
        <f t="shared" si="1"/>
        <v>4</v>
      </c>
      <c r="CG21" s="128">
        <f t="shared" si="17"/>
        <v>7</v>
      </c>
      <c r="CH21" s="50">
        <v>29</v>
      </c>
      <c r="CI21" s="51">
        <v>43629</v>
      </c>
      <c r="CJ21" s="18">
        <v>0</v>
      </c>
      <c r="CK21" s="50">
        <v>26</v>
      </c>
      <c r="CL21" s="51">
        <v>43746</v>
      </c>
      <c r="CM21" s="23">
        <v>4</v>
      </c>
      <c r="CN21" s="39">
        <v>25</v>
      </c>
      <c r="CO21" s="46">
        <v>43857</v>
      </c>
      <c r="CP21" s="24">
        <v>7</v>
      </c>
      <c r="CQ21" s="34"/>
      <c r="CR21" s="34"/>
      <c r="CS21" s="36"/>
      <c r="CT21" s="39"/>
      <c r="CU21" s="46"/>
      <c r="CV21" s="29"/>
      <c r="CW21" s="9"/>
      <c r="CX21" s="7"/>
      <c r="CY21" s="9"/>
      <c r="CZ21" s="127">
        <f t="shared" si="3"/>
        <v>0.70370370370370372</v>
      </c>
      <c r="DA21" s="127">
        <f t="shared" si="4"/>
        <v>0.70370370370370372</v>
      </c>
      <c r="DB21" s="127">
        <f t="shared" si="5"/>
        <v>2</v>
      </c>
      <c r="DC21" s="127">
        <f t="shared" si="18"/>
        <v>0.5714285714285714</v>
      </c>
      <c r="DD21" s="127">
        <f t="shared" si="7"/>
        <v>0.5714285714285714</v>
      </c>
      <c r="DE21" s="9">
        <f t="shared" si="8"/>
        <v>7</v>
      </c>
      <c r="DF21" s="127">
        <f t="shared" si="9"/>
        <v>0.75</v>
      </c>
      <c r="DG21" s="9">
        <f t="shared" si="10"/>
        <v>8</v>
      </c>
      <c r="DH21" s="129">
        <f t="shared" si="11"/>
        <v>-1.4285714285714286</v>
      </c>
      <c r="DI21" s="152">
        <f t="shared" si="19"/>
        <v>-1.4285714285714286</v>
      </c>
      <c r="DJ21" s="129">
        <f t="shared" si="13"/>
        <v>4.629629629629628E-2</v>
      </c>
      <c r="DK21" s="9"/>
      <c r="DL21" s="7"/>
      <c r="DM21" s="9"/>
      <c r="DN21" s="7"/>
      <c r="DO21" s="9">
        <f t="shared" si="14"/>
        <v>26</v>
      </c>
      <c r="DP21" s="114">
        <f t="shared" si="15"/>
        <v>27</v>
      </c>
      <c r="DQ21" s="114">
        <f t="shared" si="16"/>
        <v>1</v>
      </c>
      <c r="DR21" s="131">
        <v>2</v>
      </c>
      <c r="DS21" s="132">
        <v>2</v>
      </c>
      <c r="DT21" s="133">
        <v>4</v>
      </c>
      <c r="DU21" s="145"/>
      <c r="DV21" s="145"/>
      <c r="DW21" s="145"/>
      <c r="DX21" s="145"/>
      <c r="DY21" s="145"/>
      <c r="DZ21" s="145"/>
      <c r="EA21" s="145"/>
      <c r="EB21" s="145"/>
      <c r="EC21" s="145"/>
      <c r="ED21" s="145"/>
      <c r="EE21" s="145"/>
      <c r="EF21" s="136"/>
    </row>
    <row r="22" spans="1:136">
      <c r="A22" s="107">
        <v>2428</v>
      </c>
      <c r="B22" s="108" t="s">
        <v>78</v>
      </c>
      <c r="C22" s="109">
        <v>2745438</v>
      </c>
      <c r="D22" s="110" t="s">
        <v>415</v>
      </c>
      <c r="E22" s="148">
        <v>225</v>
      </c>
      <c r="F22" s="112" t="s">
        <v>318</v>
      </c>
      <c r="G22" s="112"/>
      <c r="H22" s="112"/>
      <c r="I22" s="112"/>
      <c r="J22" s="113">
        <v>43483</v>
      </c>
      <c r="K22" s="114">
        <v>43</v>
      </c>
      <c r="L22" s="112">
        <v>4</v>
      </c>
      <c r="M22" s="113">
        <v>43070</v>
      </c>
      <c r="N22" s="112">
        <v>3</v>
      </c>
      <c r="O22" s="137">
        <v>43629</v>
      </c>
      <c r="P22" s="5">
        <v>43697</v>
      </c>
      <c r="Q22" s="5">
        <v>43760</v>
      </c>
      <c r="R22" s="112"/>
      <c r="S22" s="112"/>
      <c r="T22" s="112"/>
      <c r="U22" s="112"/>
      <c r="V22" s="112"/>
      <c r="W22" s="112"/>
      <c r="X22" s="112"/>
      <c r="Y22" s="140">
        <v>43629</v>
      </c>
      <c r="Z22" s="140">
        <v>43697</v>
      </c>
      <c r="AA22" s="7">
        <v>43760</v>
      </c>
      <c r="AB22" s="7"/>
      <c r="AC22" s="7"/>
      <c r="AD22" s="7"/>
      <c r="AE22" s="7"/>
      <c r="AF22" s="7"/>
      <c r="AG22" s="7"/>
      <c r="AH22" s="121">
        <v>2</v>
      </c>
      <c r="AI22" s="124">
        <v>2</v>
      </c>
      <c r="AJ22" s="124"/>
      <c r="AK22" s="124"/>
      <c r="AL22" s="124"/>
      <c r="AM22" s="124"/>
      <c r="AN22" s="124"/>
      <c r="AO22" s="124"/>
      <c r="AP22" s="124"/>
      <c r="AQ22" s="125">
        <v>642</v>
      </c>
      <c r="AR22" s="125">
        <v>227.2</v>
      </c>
      <c r="AS22" s="126">
        <v>516.59999999999991</v>
      </c>
      <c r="AT22" s="126"/>
      <c r="AU22" s="127"/>
      <c r="AV22" s="127"/>
      <c r="AW22" s="127"/>
      <c r="AX22" s="127"/>
      <c r="AY22" s="127"/>
      <c r="AZ22" s="125">
        <v>0.35000000000000003</v>
      </c>
      <c r="BA22" s="125">
        <v>1.825</v>
      </c>
      <c r="BB22" s="127">
        <v>6.3249999999999993</v>
      </c>
      <c r="BC22" s="127"/>
      <c r="BD22" s="127"/>
      <c r="BE22" s="127"/>
      <c r="BF22" s="127"/>
      <c r="BG22" s="127"/>
      <c r="BH22" s="127"/>
      <c r="BI22" s="125">
        <v>44.56</v>
      </c>
      <c r="BJ22" s="125">
        <v>38.96</v>
      </c>
      <c r="BK22" s="127">
        <v>48.65</v>
      </c>
      <c r="BL22" s="127"/>
      <c r="BM22" s="127"/>
      <c r="BN22" s="127"/>
      <c r="BO22" s="127"/>
      <c r="BP22" s="127"/>
      <c r="BQ22" s="127"/>
      <c r="BR22" s="125">
        <v>1325.75</v>
      </c>
      <c r="BS22" s="125">
        <v>1110.21</v>
      </c>
      <c r="BT22" s="127">
        <v>1058.1199999999999</v>
      </c>
      <c r="BU22" s="127"/>
      <c r="BV22" s="127"/>
      <c r="BW22" s="127"/>
      <c r="BX22" s="127"/>
      <c r="BY22" s="127"/>
      <c r="BZ22" s="127"/>
      <c r="CA22" s="9">
        <v>43</v>
      </c>
      <c r="CB22" s="7">
        <v>43483</v>
      </c>
      <c r="CC22" s="9">
        <f t="shared" si="0"/>
        <v>-5</v>
      </c>
      <c r="CD22" s="9">
        <v>41</v>
      </c>
      <c r="CE22" s="137">
        <v>43629</v>
      </c>
      <c r="CF22" s="128">
        <f t="shared" si="1"/>
        <v>1</v>
      </c>
      <c r="CG22" s="128">
        <f t="shared" si="17"/>
        <v>3</v>
      </c>
      <c r="CH22" s="50">
        <v>42</v>
      </c>
      <c r="CI22" s="51">
        <v>43556</v>
      </c>
      <c r="CJ22" s="18">
        <v>-2</v>
      </c>
      <c r="CK22" s="50">
        <v>41</v>
      </c>
      <c r="CL22" s="52">
        <v>43647</v>
      </c>
      <c r="CM22" s="21">
        <v>1</v>
      </c>
      <c r="CN22" s="50">
        <v>39</v>
      </c>
      <c r="CO22" s="51">
        <v>43731</v>
      </c>
      <c r="CP22" s="23">
        <v>3</v>
      </c>
      <c r="CQ22" s="43">
        <v>34</v>
      </c>
      <c r="CR22" s="44">
        <v>43822</v>
      </c>
      <c r="CS22" s="45">
        <v>6</v>
      </c>
      <c r="CT22" s="39">
        <v>32</v>
      </c>
      <c r="CU22" s="46">
        <v>43885</v>
      </c>
      <c r="CV22" s="29">
        <v>8</v>
      </c>
      <c r="CW22" s="9"/>
      <c r="CX22" s="7"/>
      <c r="CY22" s="9"/>
      <c r="CZ22" s="127">
        <f t="shared" si="3"/>
        <v>0.375</v>
      </c>
      <c r="DA22" s="127">
        <f t="shared" si="4"/>
        <v>0.4375</v>
      </c>
      <c r="DB22" s="127">
        <f t="shared" si="5"/>
        <v>0.4</v>
      </c>
      <c r="DC22" s="127">
        <f t="shared" si="18"/>
        <v>0.66666666666666663</v>
      </c>
      <c r="DD22" s="127">
        <f t="shared" si="7"/>
        <v>0.90909090909090906</v>
      </c>
      <c r="DE22" s="9">
        <f t="shared" si="8"/>
        <v>11</v>
      </c>
      <c r="DF22" s="127">
        <f t="shared" si="9"/>
        <v>0.84615384615384615</v>
      </c>
      <c r="DG22" s="9">
        <f t="shared" si="10"/>
        <v>13</v>
      </c>
      <c r="DH22" s="129">
        <f t="shared" si="11"/>
        <v>0.50909090909090904</v>
      </c>
      <c r="DI22" s="144">
        <f t="shared" si="19"/>
        <v>0.26666666666666661</v>
      </c>
      <c r="DJ22" s="129">
        <f t="shared" si="13"/>
        <v>0.47115384615384615</v>
      </c>
      <c r="DK22" s="9"/>
      <c r="DL22" s="7"/>
      <c r="DM22" s="9"/>
      <c r="DN22" s="7"/>
      <c r="DO22" s="9">
        <f t="shared" si="14"/>
        <v>14</v>
      </c>
      <c r="DP22" s="114">
        <f t="shared" si="15"/>
        <v>16</v>
      </c>
      <c r="DQ22" s="114">
        <f t="shared" si="16"/>
        <v>5</v>
      </c>
      <c r="DR22" s="131">
        <v>2</v>
      </c>
      <c r="DS22" s="132">
        <v>2</v>
      </c>
      <c r="DT22" s="133">
        <v>4</v>
      </c>
      <c r="DU22" s="145"/>
      <c r="DV22" s="145"/>
      <c r="DW22" s="145"/>
      <c r="DX22" s="145"/>
      <c r="DY22" s="145"/>
      <c r="DZ22" s="145"/>
      <c r="EA22" s="145"/>
      <c r="EB22" s="145"/>
      <c r="EC22" s="145"/>
      <c r="ED22" s="145"/>
      <c r="EE22" s="145"/>
      <c r="EF22" s="136"/>
    </row>
    <row r="23" spans="1:136">
      <c r="A23" s="107">
        <v>2541</v>
      </c>
      <c r="B23" s="142" t="s">
        <v>18</v>
      </c>
      <c r="C23" s="109">
        <v>2759431</v>
      </c>
      <c r="D23" s="110" t="s">
        <v>338</v>
      </c>
      <c r="E23" s="111">
        <v>229</v>
      </c>
      <c r="F23" s="112" t="s">
        <v>313</v>
      </c>
      <c r="G23" s="112"/>
      <c r="H23" s="112" t="s">
        <v>314</v>
      </c>
      <c r="I23" s="112" t="s">
        <v>339</v>
      </c>
      <c r="J23" s="113">
        <v>43615</v>
      </c>
      <c r="K23" s="114">
        <v>37</v>
      </c>
      <c r="L23" s="112">
        <v>0</v>
      </c>
      <c r="M23" s="113">
        <v>42948</v>
      </c>
      <c r="N23" s="112">
        <v>3</v>
      </c>
      <c r="O23" s="137">
        <v>43643</v>
      </c>
      <c r="P23" s="5">
        <v>43669</v>
      </c>
      <c r="Q23" s="5">
        <v>43776</v>
      </c>
      <c r="R23" s="112"/>
      <c r="S23" s="112"/>
      <c r="T23" s="112"/>
      <c r="U23" s="112"/>
      <c r="V23" s="112"/>
      <c r="W23" s="112"/>
      <c r="X23" s="112"/>
      <c r="Y23" s="140">
        <v>43643</v>
      </c>
      <c r="Z23" s="140">
        <v>43669</v>
      </c>
      <c r="AA23" s="7">
        <v>43776</v>
      </c>
      <c r="AB23" s="7"/>
      <c r="AC23" s="7"/>
      <c r="AD23" s="7"/>
      <c r="AE23" s="7"/>
      <c r="AF23" s="7"/>
      <c r="AG23" s="7"/>
      <c r="AH23" s="121">
        <v>1</v>
      </c>
      <c r="AI23" s="124">
        <v>4</v>
      </c>
      <c r="AJ23" s="124"/>
      <c r="AK23" s="124"/>
      <c r="AL23" s="124"/>
      <c r="AM23" s="124"/>
      <c r="AN23" s="124"/>
      <c r="AO23" s="124"/>
      <c r="AP23" s="124"/>
      <c r="AQ23" s="125">
        <v>848.40000000000009</v>
      </c>
      <c r="AR23" s="125">
        <v>868.1</v>
      </c>
      <c r="AS23" s="126">
        <v>390.7</v>
      </c>
      <c r="AT23" s="126"/>
      <c r="AU23" s="127"/>
      <c r="AV23" s="127"/>
      <c r="AW23" s="127"/>
      <c r="AX23" s="127"/>
      <c r="AY23" s="127"/>
      <c r="AZ23" s="125">
        <v>3.8</v>
      </c>
      <c r="BA23" s="125">
        <v>9.7249999999999996</v>
      </c>
      <c r="BB23" s="127">
        <v>3.1749999999999998</v>
      </c>
      <c r="BC23" s="127"/>
      <c r="BD23" s="127"/>
      <c r="BE23" s="127"/>
      <c r="BF23" s="127"/>
      <c r="BG23" s="127"/>
      <c r="BH23" s="127"/>
      <c r="BI23" s="125">
        <v>91.82</v>
      </c>
      <c r="BJ23" s="125">
        <v>46.14</v>
      </c>
      <c r="BK23" s="127">
        <v>38.65</v>
      </c>
      <c r="BL23" s="127"/>
      <c r="BM23" s="127"/>
      <c r="BN23" s="127"/>
      <c r="BO23" s="127"/>
      <c r="BP23" s="127"/>
      <c r="BQ23" s="127"/>
      <c r="BR23" s="125">
        <v>1117.06</v>
      </c>
      <c r="BS23" s="125">
        <v>817.18</v>
      </c>
      <c r="BT23" s="127">
        <v>927.24</v>
      </c>
      <c r="BU23" s="127"/>
      <c r="BV23" s="127"/>
      <c r="BW23" s="127"/>
      <c r="BX23" s="127"/>
      <c r="BY23" s="127"/>
      <c r="BZ23" s="127"/>
      <c r="CA23" s="9">
        <v>37</v>
      </c>
      <c r="CB23" s="7">
        <v>43615</v>
      </c>
      <c r="CC23" s="9">
        <f t="shared" si="0"/>
        <v>-1</v>
      </c>
      <c r="CD23" s="9">
        <v>37</v>
      </c>
      <c r="CE23" s="137">
        <v>43643</v>
      </c>
      <c r="CF23" s="128">
        <f t="shared" si="1"/>
        <v>1</v>
      </c>
      <c r="CG23" s="128">
        <f t="shared" si="17"/>
        <v>4</v>
      </c>
      <c r="CH23" s="50">
        <v>37</v>
      </c>
      <c r="CI23" s="57">
        <v>43643</v>
      </c>
      <c r="CJ23" s="18">
        <v>0</v>
      </c>
      <c r="CK23" s="50">
        <v>37</v>
      </c>
      <c r="CL23" s="58">
        <v>43669</v>
      </c>
      <c r="CM23" s="21">
        <v>1</v>
      </c>
      <c r="CN23" s="50">
        <v>37</v>
      </c>
      <c r="CO23" s="57">
        <v>43777</v>
      </c>
      <c r="CP23" s="23">
        <v>4</v>
      </c>
      <c r="CQ23" s="39"/>
      <c r="CR23" s="46"/>
      <c r="CS23" s="24"/>
      <c r="CT23" s="39"/>
      <c r="CU23" s="46"/>
      <c r="CV23" s="29"/>
      <c r="CW23" s="9"/>
      <c r="CX23" s="7"/>
      <c r="CY23" s="9"/>
      <c r="CZ23" s="127">
        <f t="shared" si="3"/>
        <v>0.47826086956521741</v>
      </c>
      <c r="DA23" s="127">
        <f t="shared" si="4"/>
        <v>0.47826086956521741</v>
      </c>
      <c r="DB23" s="127">
        <f t="shared" si="5"/>
        <v>0</v>
      </c>
      <c r="DC23" s="127">
        <f t="shared" si="18"/>
        <v>0</v>
      </c>
      <c r="DD23" s="127">
        <f t="shared" si="7"/>
        <v>0</v>
      </c>
      <c r="DE23" s="9">
        <f t="shared" si="8"/>
        <v>4</v>
      </c>
      <c r="DF23" s="127">
        <f t="shared" si="9"/>
        <v>0</v>
      </c>
      <c r="DG23" s="9">
        <f t="shared" si="10"/>
        <v>5</v>
      </c>
      <c r="DH23" s="129">
        <f t="shared" si="11"/>
        <v>0</v>
      </c>
      <c r="DI23" s="144">
        <f t="shared" si="19"/>
        <v>0</v>
      </c>
      <c r="DJ23" s="129">
        <f t="shared" si="13"/>
        <v>-0.47826086956521741</v>
      </c>
      <c r="DK23" s="9"/>
      <c r="DL23" s="7"/>
      <c r="DM23" s="9"/>
      <c r="DN23" s="7"/>
      <c r="DO23" s="9">
        <f t="shared" si="14"/>
        <v>22</v>
      </c>
      <c r="DP23" s="114">
        <f t="shared" si="15"/>
        <v>23</v>
      </c>
      <c r="DQ23" s="114">
        <f t="shared" si="16"/>
        <v>1</v>
      </c>
      <c r="DR23" s="131">
        <v>1</v>
      </c>
      <c r="DS23" s="132">
        <v>4</v>
      </c>
      <c r="DT23" s="133">
        <v>4</v>
      </c>
      <c r="DU23" s="145"/>
      <c r="DV23" s="145"/>
      <c r="DW23" s="145"/>
      <c r="DX23" s="145"/>
      <c r="DY23" s="145"/>
      <c r="DZ23" s="145"/>
      <c r="EA23" s="145"/>
      <c r="EB23" s="145"/>
      <c r="EC23" s="145"/>
      <c r="ED23" s="145"/>
      <c r="EE23" s="145"/>
      <c r="EF23" s="136"/>
    </row>
    <row r="24" spans="1:136">
      <c r="A24" s="107">
        <v>2504</v>
      </c>
      <c r="B24" s="108" t="s">
        <v>17</v>
      </c>
      <c r="C24" s="109">
        <v>2755003</v>
      </c>
      <c r="D24" s="110" t="s">
        <v>336</v>
      </c>
      <c r="E24" s="111">
        <v>217</v>
      </c>
      <c r="F24" s="112" t="s">
        <v>313</v>
      </c>
      <c r="G24" s="112">
        <v>1</v>
      </c>
      <c r="H24" s="112" t="s">
        <v>314</v>
      </c>
      <c r="I24" s="112"/>
      <c r="J24" s="113">
        <v>43566</v>
      </c>
      <c r="K24" s="114">
        <v>42</v>
      </c>
      <c r="L24" s="112">
        <v>0</v>
      </c>
      <c r="M24" s="113">
        <v>42826</v>
      </c>
      <c r="N24" s="112">
        <v>3</v>
      </c>
      <c r="O24" s="137">
        <v>43594</v>
      </c>
      <c r="P24" s="5">
        <v>43620</v>
      </c>
      <c r="Q24" s="5">
        <v>43791</v>
      </c>
      <c r="R24" s="112"/>
      <c r="S24" s="112"/>
      <c r="T24" s="112"/>
      <c r="U24" s="112"/>
      <c r="V24" s="112"/>
      <c r="W24" s="112"/>
      <c r="X24" s="112"/>
      <c r="Y24" s="140">
        <v>43594</v>
      </c>
      <c r="Z24" s="140">
        <v>43620</v>
      </c>
      <c r="AA24" s="7">
        <v>43791</v>
      </c>
      <c r="AB24" s="7"/>
      <c r="AC24" s="7"/>
      <c r="AD24" s="7"/>
      <c r="AE24" s="7"/>
      <c r="AF24" s="7"/>
      <c r="AG24" s="7"/>
      <c r="AH24" s="121">
        <v>1</v>
      </c>
      <c r="AI24" s="124">
        <v>6</v>
      </c>
      <c r="AJ24" s="124"/>
      <c r="AK24" s="121"/>
      <c r="AL24" s="121"/>
      <c r="AM24" s="121"/>
      <c r="AN24" s="121"/>
      <c r="AO24" s="121"/>
      <c r="AP24" s="121"/>
      <c r="AQ24" s="125">
        <v>953</v>
      </c>
      <c r="AR24" s="125">
        <v>2516.9</v>
      </c>
      <c r="AS24" s="126">
        <v>1167.7</v>
      </c>
      <c r="AT24" s="126"/>
      <c r="AU24" s="127"/>
      <c r="AV24" s="127"/>
      <c r="AW24" s="127"/>
      <c r="AX24" s="127"/>
      <c r="AY24" s="127"/>
      <c r="AZ24" s="125">
        <v>3.1749999999999998</v>
      </c>
      <c r="BA24" s="125">
        <v>7.75</v>
      </c>
      <c r="BB24" s="127">
        <v>3.8250000000000002</v>
      </c>
      <c r="BC24" s="127"/>
      <c r="BD24" s="127"/>
      <c r="BE24" s="127"/>
      <c r="BF24" s="127"/>
      <c r="BG24" s="127"/>
      <c r="BH24" s="127"/>
      <c r="BI24" s="125">
        <v>83.58</v>
      </c>
      <c r="BJ24" s="125">
        <v>34.909999999999997</v>
      </c>
      <c r="BK24" s="127">
        <v>43</v>
      </c>
      <c r="BL24" s="127"/>
      <c r="BM24" s="127"/>
      <c r="BN24" s="127"/>
      <c r="BO24" s="127"/>
      <c r="BP24" s="127"/>
      <c r="BQ24" s="127"/>
      <c r="BR24" s="125">
        <v>776.45</v>
      </c>
      <c r="BS24" s="125">
        <v>581.07000000000005</v>
      </c>
      <c r="BT24" s="127">
        <v>1039.6099999999999</v>
      </c>
      <c r="BU24" s="127"/>
      <c r="BV24" s="127"/>
      <c r="BW24" s="127"/>
      <c r="BX24" s="127"/>
      <c r="BY24" s="127"/>
      <c r="BZ24" s="127"/>
      <c r="CA24" s="9">
        <v>42</v>
      </c>
      <c r="CB24" s="7">
        <v>43566</v>
      </c>
      <c r="CC24" s="9">
        <f t="shared" si="0"/>
        <v>-1</v>
      </c>
      <c r="CD24" s="9">
        <v>42</v>
      </c>
      <c r="CE24" s="137">
        <v>43594</v>
      </c>
      <c r="CF24" s="128">
        <f t="shared" si="1"/>
        <v>1</v>
      </c>
      <c r="CG24" s="128">
        <f t="shared" si="17"/>
        <v>6</v>
      </c>
      <c r="CH24" s="50">
        <v>42</v>
      </c>
      <c r="CI24" s="57">
        <v>43594</v>
      </c>
      <c r="CJ24" s="18">
        <v>0</v>
      </c>
      <c r="CK24" s="50">
        <v>42</v>
      </c>
      <c r="CL24" s="58">
        <v>43620</v>
      </c>
      <c r="CM24" s="21">
        <v>1</v>
      </c>
      <c r="CN24" s="50">
        <v>38</v>
      </c>
      <c r="CO24" s="57">
        <v>43791</v>
      </c>
      <c r="CP24" s="23">
        <v>6</v>
      </c>
      <c r="CQ24" s="39"/>
      <c r="CR24" s="46"/>
      <c r="CS24" s="24"/>
      <c r="CT24" s="39"/>
      <c r="CU24" s="46"/>
      <c r="CV24" s="29"/>
      <c r="CW24" s="9"/>
      <c r="CX24" s="7"/>
      <c r="CY24" s="9"/>
      <c r="CZ24" s="127">
        <f t="shared" si="3"/>
        <v>0.24</v>
      </c>
      <c r="DA24" s="127">
        <f t="shared" si="4"/>
        <v>0.24</v>
      </c>
      <c r="DB24" s="127">
        <f t="shared" si="5"/>
        <v>0</v>
      </c>
      <c r="DC24" s="127">
        <f t="shared" si="18"/>
        <v>0.66666666666666663</v>
      </c>
      <c r="DD24" s="127">
        <f t="shared" si="7"/>
        <v>0.66666666666666663</v>
      </c>
      <c r="DE24" s="9">
        <f t="shared" si="8"/>
        <v>6</v>
      </c>
      <c r="DF24" s="127">
        <f t="shared" si="9"/>
        <v>0.5714285714285714</v>
      </c>
      <c r="DG24" s="9">
        <f t="shared" si="10"/>
        <v>7</v>
      </c>
      <c r="DH24" s="129">
        <f t="shared" si="11"/>
        <v>0.66666666666666663</v>
      </c>
      <c r="DI24" s="130">
        <f t="shared" si="19"/>
        <v>0.66666666666666663</v>
      </c>
      <c r="DJ24" s="129">
        <f t="shared" si="13"/>
        <v>0.33142857142857141</v>
      </c>
      <c r="DK24" s="9"/>
      <c r="DL24" s="7"/>
      <c r="DM24" s="9"/>
      <c r="DN24" s="7"/>
      <c r="DO24" s="9">
        <f t="shared" si="14"/>
        <v>24</v>
      </c>
      <c r="DP24" s="114">
        <f t="shared" si="15"/>
        <v>25</v>
      </c>
      <c r="DQ24" s="114">
        <f t="shared" si="16"/>
        <v>1</v>
      </c>
      <c r="DR24" s="131">
        <v>1</v>
      </c>
      <c r="DS24" s="132">
        <v>6</v>
      </c>
      <c r="DT24" s="133">
        <v>6</v>
      </c>
      <c r="DU24" s="145"/>
      <c r="DV24" s="145"/>
      <c r="DW24" s="145"/>
      <c r="DX24" s="145"/>
      <c r="DY24" s="145"/>
      <c r="DZ24" s="145"/>
      <c r="EA24" s="145"/>
      <c r="EB24" s="145"/>
      <c r="EC24" s="145"/>
      <c r="ED24" s="145"/>
      <c r="EE24" s="145"/>
      <c r="EF24" s="136"/>
    </row>
    <row r="25" spans="1:136">
      <c r="A25" s="159">
        <v>2497</v>
      </c>
      <c r="B25" s="108" t="s">
        <v>15</v>
      </c>
      <c r="C25" s="160">
        <v>2753399</v>
      </c>
      <c r="D25" s="161" t="s">
        <v>333</v>
      </c>
      <c r="E25" s="162">
        <v>216</v>
      </c>
      <c r="F25" s="163" t="s">
        <v>313</v>
      </c>
      <c r="G25" s="163">
        <v>1</v>
      </c>
      <c r="H25" s="163" t="s">
        <v>314</v>
      </c>
      <c r="I25" s="163"/>
      <c r="J25" s="164">
        <v>43559</v>
      </c>
      <c r="K25" s="165">
        <v>43</v>
      </c>
      <c r="L25" s="163">
        <v>0</v>
      </c>
      <c r="M25" s="164">
        <v>43282</v>
      </c>
      <c r="N25" s="163">
        <v>3</v>
      </c>
      <c r="O25" s="166">
        <v>43587</v>
      </c>
      <c r="P25" s="167">
        <v>43613</v>
      </c>
      <c r="Q25" s="167">
        <v>43833</v>
      </c>
      <c r="R25" s="163"/>
      <c r="S25" s="163"/>
      <c r="T25" s="163"/>
      <c r="U25" s="163"/>
      <c r="V25" s="163"/>
      <c r="W25" s="163"/>
      <c r="X25" s="163"/>
      <c r="Y25" s="168">
        <v>43587</v>
      </c>
      <c r="Z25" s="168">
        <v>43613</v>
      </c>
      <c r="AA25" s="169">
        <v>43833</v>
      </c>
      <c r="AB25" s="169"/>
      <c r="AC25" s="169"/>
      <c r="AD25" s="169"/>
      <c r="AE25" s="169"/>
      <c r="AF25" s="169"/>
      <c r="AG25" s="169"/>
      <c r="AH25" s="170">
        <v>1</v>
      </c>
      <c r="AI25" s="171">
        <v>7</v>
      </c>
      <c r="AJ25" s="171"/>
      <c r="AK25" s="170"/>
      <c r="AL25" s="170"/>
      <c r="AM25" s="170"/>
      <c r="AN25" s="170"/>
      <c r="AO25" s="170"/>
      <c r="AP25" s="170"/>
      <c r="AQ25" s="172">
        <v>1346.5</v>
      </c>
      <c r="AR25" s="172">
        <v>1975.3999999999999</v>
      </c>
      <c r="AS25" s="173">
        <v>1316</v>
      </c>
      <c r="AT25" s="173"/>
      <c r="AU25" s="174"/>
      <c r="AV25" s="174"/>
      <c r="AW25" s="174"/>
      <c r="AX25" s="174"/>
      <c r="AY25" s="174"/>
      <c r="AZ25" s="172">
        <v>10.9</v>
      </c>
      <c r="BA25" s="172">
        <v>16.975000000000001</v>
      </c>
      <c r="BB25" s="174">
        <v>2.2749999999999999</v>
      </c>
      <c r="BC25" s="174"/>
      <c r="BD25" s="174"/>
      <c r="BE25" s="174"/>
      <c r="BF25" s="174"/>
      <c r="BG25" s="174"/>
      <c r="BH25" s="174"/>
      <c r="BI25" s="172">
        <v>46.36</v>
      </c>
      <c r="BJ25" s="172">
        <v>57.15</v>
      </c>
      <c r="BK25" s="174">
        <v>33.270000000000003</v>
      </c>
      <c r="BL25" s="174"/>
      <c r="BM25" s="174"/>
      <c r="BN25" s="174"/>
      <c r="BO25" s="174"/>
      <c r="BP25" s="174"/>
      <c r="BQ25" s="174"/>
      <c r="BR25" s="172">
        <v>770.04</v>
      </c>
      <c r="BS25" s="172">
        <v>434.9</v>
      </c>
      <c r="BT25" s="174">
        <v>1602.25</v>
      </c>
      <c r="BU25" s="174"/>
      <c r="BV25" s="174"/>
      <c r="BW25" s="174"/>
      <c r="BX25" s="174"/>
      <c r="BY25" s="174"/>
      <c r="BZ25" s="174"/>
      <c r="CA25" s="175">
        <v>43</v>
      </c>
      <c r="CB25" s="169">
        <v>43559</v>
      </c>
      <c r="CC25" s="9">
        <f t="shared" si="0"/>
        <v>-1</v>
      </c>
      <c r="CD25" s="9">
        <v>43</v>
      </c>
      <c r="CE25" s="166">
        <v>43587</v>
      </c>
      <c r="CF25" s="128">
        <f t="shared" si="1"/>
        <v>1</v>
      </c>
      <c r="CG25" s="128">
        <f t="shared" si="17"/>
        <v>8</v>
      </c>
      <c r="CH25" s="19">
        <v>43</v>
      </c>
      <c r="CI25" s="22">
        <v>43587</v>
      </c>
      <c r="CJ25" s="18">
        <v>0</v>
      </c>
      <c r="CK25" s="19">
        <v>43</v>
      </c>
      <c r="CL25" s="189">
        <v>43613</v>
      </c>
      <c r="CM25" s="21">
        <v>1</v>
      </c>
      <c r="CN25" s="19">
        <v>36</v>
      </c>
      <c r="CO25" s="22">
        <v>43833</v>
      </c>
      <c r="CP25" s="23">
        <v>8</v>
      </c>
      <c r="CQ25" s="43"/>
      <c r="CR25" s="44"/>
      <c r="CS25" s="45"/>
      <c r="CT25" s="39"/>
      <c r="CU25" s="46"/>
      <c r="CV25" s="29"/>
      <c r="CW25" s="9"/>
      <c r="CX25" s="7"/>
      <c r="CY25" s="9"/>
      <c r="CZ25" s="127">
        <f t="shared" si="3"/>
        <v>0.5</v>
      </c>
      <c r="DA25" s="127">
        <f t="shared" si="4"/>
        <v>0.5</v>
      </c>
      <c r="DB25" s="127">
        <f t="shared" si="5"/>
        <v>0</v>
      </c>
      <c r="DC25" s="127">
        <f t="shared" si="18"/>
        <v>0.875</v>
      </c>
      <c r="DD25" s="127">
        <f t="shared" si="7"/>
        <v>0.875</v>
      </c>
      <c r="DE25" s="9">
        <f t="shared" si="8"/>
        <v>8</v>
      </c>
      <c r="DF25" s="127">
        <f t="shared" si="9"/>
        <v>0.77777777777777779</v>
      </c>
      <c r="DG25" s="9">
        <f t="shared" si="10"/>
        <v>9</v>
      </c>
      <c r="DH25" s="129">
        <f t="shared" si="11"/>
        <v>0.875</v>
      </c>
      <c r="DI25" s="130">
        <f t="shared" si="19"/>
        <v>0.875</v>
      </c>
      <c r="DJ25" s="129">
        <f t="shared" si="13"/>
        <v>0.27777777777777779</v>
      </c>
      <c r="DK25" s="9"/>
      <c r="DL25" s="7"/>
      <c r="DM25" s="9"/>
      <c r="DN25" s="7"/>
      <c r="DO25" s="9">
        <f t="shared" si="14"/>
        <v>9</v>
      </c>
      <c r="DP25" s="114">
        <f t="shared" si="15"/>
        <v>10</v>
      </c>
      <c r="DQ25" s="114">
        <f t="shared" si="16"/>
        <v>1</v>
      </c>
      <c r="DR25" s="131">
        <v>1</v>
      </c>
      <c r="DS25" s="132">
        <v>7</v>
      </c>
      <c r="DT25" s="133">
        <v>8</v>
      </c>
      <c r="DU25" s="145"/>
      <c r="DV25" s="145"/>
      <c r="DW25" s="145"/>
      <c r="DX25" s="145"/>
      <c r="DY25" s="145"/>
      <c r="DZ25" s="145"/>
      <c r="EA25" s="145"/>
      <c r="EB25" s="145"/>
      <c r="EC25" s="145"/>
      <c r="ED25" s="145"/>
      <c r="EE25" s="145"/>
      <c r="EF25" s="136"/>
    </row>
    <row r="26" spans="1:136">
      <c r="A26" s="112">
        <v>2595</v>
      </c>
      <c r="B26" s="153" t="s">
        <v>53</v>
      </c>
      <c r="C26" s="146">
        <v>2769553</v>
      </c>
      <c r="D26" s="115" t="s">
        <v>381</v>
      </c>
      <c r="E26" s="111">
        <v>236</v>
      </c>
      <c r="F26" s="112" t="s">
        <v>313</v>
      </c>
      <c r="G26" s="112"/>
      <c r="H26" s="112" t="s">
        <v>314</v>
      </c>
      <c r="I26" s="112"/>
      <c r="J26" s="113">
        <v>43685</v>
      </c>
      <c r="K26" s="114">
        <v>30</v>
      </c>
      <c r="L26" s="112">
        <v>2</v>
      </c>
      <c r="M26" s="113">
        <v>42705</v>
      </c>
      <c r="N26" s="112">
        <v>3</v>
      </c>
      <c r="O26" s="137">
        <v>43753</v>
      </c>
      <c r="P26" s="5">
        <v>43781</v>
      </c>
      <c r="Q26" s="116"/>
      <c r="R26" s="112"/>
      <c r="S26" s="112"/>
      <c r="T26" s="112"/>
      <c r="U26" s="112"/>
      <c r="V26" s="112"/>
      <c r="W26" s="112"/>
      <c r="X26" s="112"/>
      <c r="Y26" s="140">
        <v>43753</v>
      </c>
      <c r="Z26" s="140">
        <v>43781</v>
      </c>
      <c r="AA26" s="7"/>
      <c r="AB26" s="7"/>
      <c r="AC26" s="7"/>
      <c r="AD26" s="7"/>
      <c r="AE26" s="7"/>
      <c r="AF26" s="7"/>
      <c r="AG26" s="7"/>
      <c r="AH26" s="121">
        <v>1</v>
      </c>
      <c r="AI26" s="124"/>
      <c r="AJ26" s="121"/>
      <c r="AK26" s="124"/>
      <c r="AL26" s="124"/>
      <c r="AM26" s="124"/>
      <c r="AN26" s="124"/>
      <c r="AO26" s="124"/>
      <c r="AP26" s="124"/>
      <c r="AQ26" s="125">
        <v>988.7</v>
      </c>
      <c r="AR26" s="125">
        <v>943.8</v>
      </c>
      <c r="AS26" s="126"/>
      <c r="AT26" s="126"/>
      <c r="AU26" s="127"/>
      <c r="AV26" s="127"/>
      <c r="AW26" s="127"/>
      <c r="AX26" s="127"/>
      <c r="AY26" s="127"/>
      <c r="AZ26" s="125">
        <v>3.34</v>
      </c>
      <c r="BA26" s="125">
        <v>17.78</v>
      </c>
      <c r="BB26" s="127"/>
      <c r="BC26" s="127"/>
      <c r="BD26" s="127"/>
      <c r="BE26" s="127"/>
      <c r="BF26" s="127"/>
      <c r="BG26" s="127"/>
      <c r="BH26" s="127"/>
      <c r="BI26" s="125">
        <v>56.06</v>
      </c>
      <c r="BJ26" s="125">
        <v>97.95</v>
      </c>
      <c r="BK26" s="127"/>
      <c r="BL26" s="127"/>
      <c r="BM26" s="127"/>
      <c r="BN26" s="127"/>
      <c r="BO26" s="127"/>
      <c r="BP26" s="127"/>
      <c r="BQ26" s="127"/>
      <c r="BR26" s="125">
        <v>998.35</v>
      </c>
      <c r="BS26" s="125">
        <v>743.71</v>
      </c>
      <c r="BT26" s="127"/>
      <c r="BU26" s="127"/>
      <c r="BV26" s="127"/>
      <c r="BW26" s="127"/>
      <c r="BX26" s="127"/>
      <c r="BY26" s="127"/>
      <c r="BZ26" s="127"/>
      <c r="CA26" s="9">
        <v>30</v>
      </c>
      <c r="CB26" s="7">
        <v>43685</v>
      </c>
      <c r="CC26" s="9">
        <f t="shared" si="0"/>
        <v>-2</v>
      </c>
      <c r="CD26" s="9">
        <v>29</v>
      </c>
      <c r="CE26" s="137">
        <v>43753</v>
      </c>
      <c r="CF26" s="128">
        <f t="shared" si="1"/>
        <v>4</v>
      </c>
      <c r="CG26" s="128"/>
      <c r="CH26" s="39">
        <v>30</v>
      </c>
      <c r="CI26" s="40">
        <v>43685</v>
      </c>
      <c r="CJ26" s="18">
        <v>-2</v>
      </c>
      <c r="CK26" s="39">
        <v>25</v>
      </c>
      <c r="CL26" s="40">
        <v>43881</v>
      </c>
      <c r="CM26" s="21">
        <v>4</v>
      </c>
      <c r="CN26" s="41"/>
      <c r="CO26" s="42"/>
      <c r="CP26" s="23"/>
      <c r="CQ26" s="39"/>
      <c r="CR26" s="46"/>
      <c r="CS26" s="24"/>
      <c r="CT26" s="39"/>
      <c r="CU26" s="46"/>
      <c r="CV26" s="29"/>
      <c r="CW26" s="9"/>
      <c r="CX26" s="7"/>
      <c r="CY26" s="9"/>
      <c r="CZ26" s="127">
        <f t="shared" si="3"/>
        <v>0.5625</v>
      </c>
      <c r="DA26" s="127">
        <f t="shared" si="4"/>
        <v>0.59375</v>
      </c>
      <c r="DB26" s="127">
        <f t="shared" si="5"/>
        <v>0.5</v>
      </c>
      <c r="DC26" s="127"/>
      <c r="DD26" s="127">
        <f t="shared" si="7"/>
        <v>0.83333333333333337</v>
      </c>
      <c r="DE26" s="9">
        <f t="shared" si="8"/>
        <v>6</v>
      </c>
      <c r="DF26" s="127">
        <f t="shared" si="9"/>
        <v>0.83333333333333337</v>
      </c>
      <c r="DG26" s="9">
        <f t="shared" si="10"/>
        <v>6</v>
      </c>
      <c r="DH26" s="129">
        <f t="shared" si="11"/>
        <v>0.33333333333333337</v>
      </c>
      <c r="DI26" s="129"/>
      <c r="DJ26" s="129">
        <f t="shared" si="13"/>
        <v>0.27083333333333337</v>
      </c>
      <c r="DK26" s="9"/>
      <c r="DL26" s="7"/>
      <c r="DM26" s="9"/>
      <c r="DN26" s="7"/>
      <c r="DO26" s="9">
        <f t="shared" si="14"/>
        <v>32</v>
      </c>
      <c r="DP26" s="114">
        <f t="shared" si="15"/>
        <v>32</v>
      </c>
      <c r="DQ26" s="114">
        <f t="shared" si="16"/>
        <v>2</v>
      </c>
      <c r="DR26" s="131">
        <v>1</v>
      </c>
      <c r="DS26" s="132">
        <v>-1435</v>
      </c>
      <c r="DT26" s="133">
        <v>-1435</v>
      </c>
      <c r="DU26" s="145"/>
      <c r="DV26" s="145"/>
      <c r="DW26" s="145"/>
      <c r="DX26" s="145"/>
      <c r="DY26" s="145"/>
      <c r="DZ26" s="145"/>
      <c r="EA26" s="145"/>
      <c r="EB26" s="145"/>
      <c r="EC26" s="145"/>
      <c r="ED26" s="145"/>
      <c r="EE26" s="145"/>
      <c r="EF26" s="136"/>
    </row>
    <row r="27" spans="1:136">
      <c r="A27" s="107">
        <v>2570</v>
      </c>
      <c r="B27" s="108" t="s">
        <v>311</v>
      </c>
      <c r="C27" s="109">
        <v>2765323</v>
      </c>
      <c r="D27" s="110" t="s">
        <v>337</v>
      </c>
      <c r="E27" s="111">
        <v>233</v>
      </c>
      <c r="F27" s="112" t="s">
        <v>313</v>
      </c>
      <c r="G27" s="112">
        <v>1</v>
      </c>
      <c r="H27" s="112" t="s">
        <v>314</v>
      </c>
      <c r="I27" s="112"/>
      <c r="J27" s="113">
        <v>43650</v>
      </c>
      <c r="K27" s="114">
        <v>35</v>
      </c>
      <c r="L27" s="115">
        <v>0</v>
      </c>
      <c r="M27" s="113">
        <v>43132</v>
      </c>
      <c r="N27" s="112">
        <v>2</v>
      </c>
      <c r="O27" s="137">
        <v>43677</v>
      </c>
      <c r="P27" s="5">
        <v>43704</v>
      </c>
      <c r="Q27" s="176">
        <v>43837</v>
      </c>
      <c r="R27" s="112"/>
      <c r="S27" s="112"/>
      <c r="T27" s="112"/>
      <c r="U27" s="112"/>
      <c r="V27" s="112"/>
      <c r="W27" s="112"/>
      <c r="X27" s="112"/>
      <c r="Y27" s="140">
        <v>43677</v>
      </c>
      <c r="Z27" s="140">
        <v>43704</v>
      </c>
      <c r="AA27" s="176">
        <v>43837</v>
      </c>
      <c r="AB27" s="7"/>
      <c r="AC27" s="7"/>
      <c r="AD27" s="7"/>
      <c r="AE27" s="7"/>
      <c r="AF27" s="7"/>
      <c r="AG27" s="7"/>
      <c r="AH27" s="121">
        <v>1</v>
      </c>
      <c r="AI27" s="124">
        <v>4</v>
      </c>
      <c r="AJ27" s="121"/>
      <c r="AK27" s="124"/>
      <c r="AL27" s="124"/>
      <c r="AM27" s="124"/>
      <c r="AN27" s="124"/>
      <c r="AO27" s="124"/>
      <c r="AP27" s="124"/>
      <c r="AQ27" s="125">
        <v>936.3</v>
      </c>
      <c r="AR27" s="125">
        <v>1199.5</v>
      </c>
      <c r="AS27" s="126">
        <v>1019.3</v>
      </c>
      <c r="AT27" s="126"/>
      <c r="AU27" s="127"/>
      <c r="AV27" s="127"/>
      <c r="AW27" s="127"/>
      <c r="AX27" s="127"/>
      <c r="AY27" s="127"/>
      <c r="AZ27" s="125">
        <v>1.74</v>
      </c>
      <c r="BA27" s="125">
        <v>2.66</v>
      </c>
      <c r="BB27" s="127">
        <v>1.84</v>
      </c>
      <c r="BC27" s="127"/>
      <c r="BD27" s="127"/>
      <c r="BE27" s="127"/>
      <c r="BF27" s="127"/>
      <c r="BG27" s="127"/>
      <c r="BH27" s="127"/>
      <c r="BI27" s="125">
        <v>42.22</v>
      </c>
      <c r="BJ27" s="125">
        <v>56.66</v>
      </c>
      <c r="BK27" s="127">
        <v>52.25</v>
      </c>
      <c r="BL27" s="127"/>
      <c r="BM27" s="127"/>
      <c r="BN27" s="127"/>
      <c r="BO27" s="127"/>
      <c r="BP27" s="127"/>
      <c r="BQ27" s="127"/>
      <c r="BR27" s="125">
        <v>953.39</v>
      </c>
      <c r="BS27" s="125">
        <v>678.66</v>
      </c>
      <c r="BT27" s="127">
        <v>993.29</v>
      </c>
      <c r="BU27" s="127"/>
      <c r="BV27" s="127"/>
      <c r="BW27" s="127"/>
      <c r="BX27" s="127"/>
      <c r="BY27" s="127"/>
      <c r="BZ27" s="127"/>
      <c r="CA27" s="9">
        <v>35</v>
      </c>
      <c r="CB27" s="7">
        <v>43650</v>
      </c>
      <c r="CC27" s="9">
        <f t="shared" si="0"/>
        <v>-1</v>
      </c>
      <c r="CD27" s="9">
        <v>34</v>
      </c>
      <c r="CE27" s="137">
        <v>43677</v>
      </c>
      <c r="CF27" s="128">
        <f t="shared" si="1"/>
        <v>1</v>
      </c>
      <c r="CG27" s="128">
        <f t="shared" ref="CG27:CG57" si="20">ROUND((CO27-CE27)/30.5,0)</f>
        <v>5</v>
      </c>
      <c r="CH27" s="50">
        <v>34</v>
      </c>
      <c r="CI27" s="57">
        <v>43677</v>
      </c>
      <c r="CJ27" s="18">
        <v>0</v>
      </c>
      <c r="CK27" s="50">
        <v>33</v>
      </c>
      <c r="CL27" s="58">
        <v>43704</v>
      </c>
      <c r="CM27" s="21">
        <v>1</v>
      </c>
      <c r="CN27" s="50">
        <v>27</v>
      </c>
      <c r="CO27" s="57">
        <v>43837</v>
      </c>
      <c r="CP27" s="23">
        <v>5</v>
      </c>
      <c r="CQ27" s="39"/>
      <c r="CR27" s="46"/>
      <c r="CS27" s="24"/>
      <c r="CT27" s="39"/>
      <c r="CU27" s="46"/>
      <c r="CV27" s="29"/>
      <c r="CW27" s="9"/>
      <c r="CX27" s="7"/>
      <c r="CY27" s="9"/>
      <c r="CZ27" s="127">
        <f t="shared" si="3"/>
        <v>0.77777777777777779</v>
      </c>
      <c r="DA27" s="127">
        <f t="shared" si="4"/>
        <v>0.77777777777777779</v>
      </c>
      <c r="DB27" s="127">
        <f t="shared" si="5"/>
        <v>1</v>
      </c>
      <c r="DC27" s="127">
        <f t="shared" ref="DC27:DC57" si="21">(CD27-MIN(CK27,CN27))/MAX(CF27,CG27)</f>
        <v>1.4</v>
      </c>
      <c r="DD27" s="127">
        <f t="shared" si="7"/>
        <v>1.4</v>
      </c>
      <c r="DE27" s="9">
        <f t="shared" si="8"/>
        <v>5</v>
      </c>
      <c r="DF27" s="127">
        <f t="shared" si="9"/>
        <v>1.3333333333333333</v>
      </c>
      <c r="DG27" s="9">
        <f t="shared" si="10"/>
        <v>6</v>
      </c>
      <c r="DH27" s="129">
        <f t="shared" si="11"/>
        <v>0.39999999999999991</v>
      </c>
      <c r="DI27" s="130">
        <f t="shared" ref="DI27:DI57" si="22">DC27-DB27</f>
        <v>0.39999999999999991</v>
      </c>
      <c r="DJ27" s="129">
        <f t="shared" si="13"/>
        <v>0.55555555555555547</v>
      </c>
      <c r="DK27" s="9"/>
      <c r="DL27" s="7"/>
      <c r="DM27" s="9"/>
      <c r="DN27" s="7"/>
      <c r="DO27" s="9">
        <f t="shared" si="14"/>
        <v>17</v>
      </c>
      <c r="DP27" s="114">
        <f t="shared" si="15"/>
        <v>18</v>
      </c>
      <c r="DQ27" s="114">
        <f t="shared" si="16"/>
        <v>1</v>
      </c>
      <c r="DR27" s="131">
        <v>1</v>
      </c>
      <c r="DS27" s="136"/>
      <c r="DT27" s="135"/>
      <c r="DU27" s="145"/>
      <c r="DV27" s="145"/>
      <c r="DW27" s="145"/>
      <c r="DX27" s="145"/>
      <c r="DY27" s="145"/>
      <c r="DZ27" s="145"/>
      <c r="EA27" s="145"/>
      <c r="EB27" s="145"/>
      <c r="EC27" s="145"/>
      <c r="ED27" s="145"/>
      <c r="EE27" s="145"/>
      <c r="EF27" s="136"/>
    </row>
    <row r="28" spans="1:136">
      <c r="A28" s="107">
        <v>1968</v>
      </c>
      <c r="B28" s="142" t="s">
        <v>311</v>
      </c>
      <c r="C28" s="109">
        <v>2668751</v>
      </c>
      <c r="D28" s="110" t="s">
        <v>421</v>
      </c>
      <c r="E28" s="148">
        <v>221</v>
      </c>
      <c r="F28" s="112" t="s">
        <v>318</v>
      </c>
      <c r="G28" s="112"/>
      <c r="H28" s="112" t="s">
        <v>319</v>
      </c>
      <c r="I28" s="112"/>
      <c r="J28" s="113">
        <v>42846</v>
      </c>
      <c r="K28" s="114">
        <v>46</v>
      </c>
      <c r="L28" s="112">
        <v>25</v>
      </c>
      <c r="M28" s="113">
        <v>42583</v>
      </c>
      <c r="N28" s="112">
        <v>2</v>
      </c>
      <c r="O28" s="137">
        <v>43614</v>
      </c>
      <c r="P28" s="5">
        <v>43770</v>
      </c>
      <c r="Q28" s="116">
        <v>43875</v>
      </c>
      <c r="R28" s="112"/>
      <c r="S28" s="112"/>
      <c r="T28" s="112"/>
      <c r="U28" s="112"/>
      <c r="V28" s="112"/>
      <c r="W28" s="112"/>
      <c r="X28" s="112"/>
      <c r="Y28" s="140">
        <v>43614</v>
      </c>
      <c r="Z28" s="140">
        <v>43770</v>
      </c>
      <c r="AA28" s="7">
        <v>43875</v>
      </c>
      <c r="AB28" s="7"/>
      <c r="AC28" s="7"/>
      <c r="AD28" s="7"/>
      <c r="AE28" s="7"/>
      <c r="AF28" s="7"/>
      <c r="AG28" s="7"/>
      <c r="AH28" s="121">
        <v>5</v>
      </c>
      <c r="AI28" s="124">
        <v>3</v>
      </c>
      <c r="AJ28" s="124"/>
      <c r="AK28" s="124"/>
      <c r="AL28" s="124"/>
      <c r="AM28" s="124"/>
      <c r="AN28" s="124"/>
      <c r="AO28" s="124"/>
      <c r="AP28" s="124"/>
      <c r="AQ28" s="125">
        <v>1550</v>
      </c>
      <c r="AR28" s="125">
        <v>1124.8999999999999</v>
      </c>
      <c r="AS28" s="126">
        <v>1247.3999999999999</v>
      </c>
      <c r="AT28" s="126"/>
      <c r="AU28" s="127"/>
      <c r="AV28" s="127"/>
      <c r="AW28" s="127"/>
      <c r="AX28" s="127"/>
      <c r="AY28" s="127"/>
      <c r="AZ28" s="125">
        <v>1.67</v>
      </c>
      <c r="BA28" s="125">
        <v>1.66</v>
      </c>
      <c r="BB28" s="127">
        <v>1.6</v>
      </c>
      <c r="BC28" s="127"/>
      <c r="BD28" s="127"/>
      <c r="BE28" s="127"/>
      <c r="BF28" s="127"/>
      <c r="BG28" s="127"/>
      <c r="BH28" s="127"/>
      <c r="BI28" s="125">
        <v>30.86</v>
      </c>
      <c r="BJ28" s="125">
        <v>29.54</v>
      </c>
      <c r="BK28" s="127">
        <v>29.39</v>
      </c>
      <c r="BL28" s="127"/>
      <c r="BM28" s="127"/>
      <c r="BN28" s="127"/>
      <c r="BO28" s="127"/>
      <c r="BP28" s="127"/>
      <c r="BQ28" s="127"/>
      <c r="BR28" s="125">
        <v>850.76</v>
      </c>
      <c r="BS28" s="125">
        <v>1138.1500000000001</v>
      </c>
      <c r="BT28" s="127">
        <v>914.34</v>
      </c>
      <c r="BU28" s="127"/>
      <c r="BV28" s="127"/>
      <c r="BW28" s="127"/>
      <c r="BX28" s="127"/>
      <c r="BY28" s="127"/>
      <c r="BZ28" s="127"/>
      <c r="CA28" s="9">
        <v>46</v>
      </c>
      <c r="CB28" s="7">
        <v>42846</v>
      </c>
      <c r="CC28" s="9">
        <f t="shared" si="0"/>
        <v>-25</v>
      </c>
      <c r="CD28" s="9">
        <v>41</v>
      </c>
      <c r="CE28" s="137">
        <v>43614</v>
      </c>
      <c r="CF28" s="128">
        <f t="shared" si="1"/>
        <v>-19</v>
      </c>
      <c r="CG28" s="128">
        <f t="shared" si="20"/>
        <v>-17</v>
      </c>
      <c r="CH28" s="50">
        <v>44</v>
      </c>
      <c r="CI28" s="51">
        <v>42947</v>
      </c>
      <c r="CJ28" s="18">
        <v>-22</v>
      </c>
      <c r="CK28" s="50">
        <v>44</v>
      </c>
      <c r="CL28" s="52">
        <v>43031</v>
      </c>
      <c r="CM28" s="21">
        <v>-19</v>
      </c>
      <c r="CN28" s="50">
        <v>43</v>
      </c>
      <c r="CO28" s="51">
        <v>43087</v>
      </c>
      <c r="CP28" s="23">
        <v>-17</v>
      </c>
      <c r="CQ28" s="39">
        <v>42</v>
      </c>
      <c r="CR28" s="46">
        <v>43213</v>
      </c>
      <c r="CS28" s="24">
        <v>-13</v>
      </c>
      <c r="CT28" s="39">
        <v>42</v>
      </c>
      <c r="CU28" s="46">
        <v>43241</v>
      </c>
      <c r="CV28" s="29">
        <v>-12</v>
      </c>
      <c r="CW28" s="9">
        <v>42</v>
      </c>
      <c r="CX28" s="7">
        <v>43304</v>
      </c>
      <c r="CY28" s="9">
        <v>-10</v>
      </c>
      <c r="CZ28" s="127">
        <f t="shared" si="3"/>
        <v>0.33333333333333331</v>
      </c>
      <c r="DA28" s="127">
        <f t="shared" si="4"/>
        <v>0.58333333333333337</v>
      </c>
      <c r="DB28" s="127">
        <f t="shared" si="5"/>
        <v>0.2</v>
      </c>
      <c r="DC28" s="127">
        <f t="shared" si="21"/>
        <v>0.11764705882352941</v>
      </c>
      <c r="DD28" s="127">
        <f t="shared" si="7"/>
        <v>0.16666666666666666</v>
      </c>
      <c r="DE28" s="9">
        <f t="shared" si="8"/>
        <v>12</v>
      </c>
      <c r="DF28" s="127">
        <f t="shared" si="9"/>
        <v>0.26666666666666666</v>
      </c>
      <c r="DG28" s="9">
        <f t="shared" si="10"/>
        <v>15</v>
      </c>
      <c r="DH28" s="129">
        <f t="shared" si="11"/>
        <v>-3.3333333333333354E-2</v>
      </c>
      <c r="DI28" s="144">
        <f t="shared" si="22"/>
        <v>-8.2352941176470601E-2</v>
      </c>
      <c r="DJ28" s="129">
        <f t="shared" si="13"/>
        <v>-6.6666666666666652E-2</v>
      </c>
      <c r="DK28" s="9"/>
      <c r="DL28" s="7"/>
      <c r="DM28" s="9"/>
      <c r="DN28" s="7"/>
      <c r="DO28" s="9">
        <f t="shared" si="14"/>
        <v>9</v>
      </c>
      <c r="DP28" s="114">
        <f t="shared" si="15"/>
        <v>12</v>
      </c>
      <c r="DQ28" s="114">
        <f t="shared" si="16"/>
        <v>25</v>
      </c>
      <c r="DR28" s="131">
        <v>5</v>
      </c>
      <c r="DS28" s="157">
        <v>3</v>
      </c>
      <c r="DT28" s="181">
        <v>9</v>
      </c>
      <c r="DU28" s="145"/>
      <c r="DV28" s="145"/>
      <c r="DW28" s="145"/>
      <c r="DX28" s="145"/>
      <c r="DY28" s="145"/>
      <c r="DZ28" s="145"/>
      <c r="EA28" s="145"/>
      <c r="EB28" s="145"/>
      <c r="EC28" s="145"/>
      <c r="ED28" s="145"/>
      <c r="EE28" s="145"/>
      <c r="EF28" s="136"/>
    </row>
    <row r="29" spans="1:136">
      <c r="A29" s="112">
        <v>2392</v>
      </c>
      <c r="B29" s="108" t="s">
        <v>19</v>
      </c>
      <c r="C29" s="146">
        <v>2739603</v>
      </c>
      <c r="D29" s="177" t="s">
        <v>340</v>
      </c>
      <c r="E29" s="178">
        <v>215</v>
      </c>
      <c r="F29" s="112" t="s">
        <v>318</v>
      </c>
      <c r="G29" s="112"/>
      <c r="H29" s="112"/>
      <c r="I29" s="112"/>
      <c r="J29" s="113">
        <v>43434</v>
      </c>
      <c r="K29" s="114">
        <v>43</v>
      </c>
      <c r="L29" s="112">
        <v>4</v>
      </c>
      <c r="M29" s="113">
        <v>43132</v>
      </c>
      <c r="N29" s="112">
        <v>2</v>
      </c>
      <c r="O29" s="137">
        <v>43581</v>
      </c>
      <c r="P29" s="5">
        <v>43607</v>
      </c>
      <c r="Q29" s="179"/>
      <c r="R29" s="112"/>
      <c r="S29" s="112"/>
      <c r="T29" s="112"/>
      <c r="U29" s="112"/>
      <c r="V29" s="112"/>
      <c r="W29" s="112"/>
      <c r="X29" s="112"/>
      <c r="Y29" s="140">
        <v>43581</v>
      </c>
      <c r="Z29" s="140">
        <v>43607</v>
      </c>
      <c r="AA29" s="7"/>
      <c r="AB29" s="7"/>
      <c r="AC29" s="7"/>
      <c r="AD29" s="7"/>
      <c r="AE29" s="7"/>
      <c r="AF29" s="7"/>
      <c r="AG29" s="7"/>
      <c r="AH29" s="121">
        <v>1</v>
      </c>
      <c r="AI29" s="124"/>
      <c r="AJ29" s="124"/>
      <c r="AK29" s="124"/>
      <c r="AL29" s="124"/>
      <c r="AM29" s="124"/>
      <c r="AN29" s="124"/>
      <c r="AO29" s="124"/>
      <c r="AP29" s="124"/>
      <c r="AQ29" s="125">
        <v>1562.8999999999999</v>
      </c>
      <c r="AR29" s="125">
        <v>2461.8000000000002</v>
      </c>
      <c r="AS29" s="126"/>
      <c r="AT29" s="126"/>
      <c r="AU29" s="127"/>
      <c r="AV29" s="127"/>
      <c r="AW29" s="127"/>
      <c r="AX29" s="127"/>
      <c r="AY29" s="127"/>
      <c r="AZ29" s="125">
        <v>5.3000000000000007</v>
      </c>
      <c r="BA29" s="125">
        <v>25.775000000000002</v>
      </c>
      <c r="BB29" s="127"/>
      <c r="BC29" s="127"/>
      <c r="BD29" s="127"/>
      <c r="BE29" s="127"/>
      <c r="BF29" s="127"/>
      <c r="BG29" s="127"/>
      <c r="BH29" s="127"/>
      <c r="BI29" s="125">
        <v>81.03</v>
      </c>
      <c r="BJ29" s="125">
        <v>50.41</v>
      </c>
      <c r="BK29" s="127"/>
      <c r="BL29" s="127"/>
      <c r="BM29" s="127"/>
      <c r="BN29" s="127"/>
      <c r="BO29" s="127"/>
      <c r="BP29" s="127"/>
      <c r="BQ29" s="127"/>
      <c r="BR29" s="125">
        <v>1685.76</v>
      </c>
      <c r="BS29" s="125">
        <v>1333.03</v>
      </c>
      <c r="BT29" s="127"/>
      <c r="BU29" s="127"/>
      <c r="BV29" s="127"/>
      <c r="BW29" s="127"/>
      <c r="BX29" s="127"/>
      <c r="BY29" s="127"/>
      <c r="BZ29" s="127"/>
      <c r="CA29" s="9">
        <v>43</v>
      </c>
      <c r="CB29" s="7">
        <v>43434</v>
      </c>
      <c r="CC29" s="9">
        <f t="shared" si="0"/>
        <v>-5</v>
      </c>
      <c r="CD29" s="9">
        <v>29</v>
      </c>
      <c r="CE29" s="137">
        <v>43581</v>
      </c>
      <c r="CF29" s="128">
        <f t="shared" si="1"/>
        <v>3</v>
      </c>
      <c r="CG29" s="128">
        <f t="shared" si="20"/>
        <v>10</v>
      </c>
      <c r="CH29" s="39">
        <v>39</v>
      </c>
      <c r="CI29" s="40">
        <v>43511</v>
      </c>
      <c r="CJ29" s="18">
        <v>-2</v>
      </c>
      <c r="CK29" s="39">
        <v>28</v>
      </c>
      <c r="CL29" s="40">
        <v>43670</v>
      </c>
      <c r="CM29" s="21">
        <v>3</v>
      </c>
      <c r="CN29" s="41">
        <v>19</v>
      </c>
      <c r="CO29" s="42">
        <v>43892</v>
      </c>
      <c r="CP29" s="23">
        <v>10</v>
      </c>
      <c r="CQ29" s="43"/>
      <c r="CR29" s="44"/>
      <c r="CS29" s="45"/>
      <c r="CT29" s="39"/>
      <c r="CU29" s="46"/>
      <c r="CV29" s="29"/>
      <c r="CW29" s="9"/>
      <c r="CX29" s="7"/>
      <c r="CY29" s="9"/>
      <c r="CZ29" s="127">
        <f t="shared" si="3"/>
        <v>0.75</v>
      </c>
      <c r="DA29" s="127">
        <f t="shared" si="4"/>
        <v>1.5833333333333333</v>
      </c>
      <c r="DB29" s="127">
        <f t="shared" si="5"/>
        <v>2.8</v>
      </c>
      <c r="DC29" s="127">
        <f t="shared" si="21"/>
        <v>1</v>
      </c>
      <c r="DD29" s="127">
        <f t="shared" si="7"/>
        <v>1.6666666666666667</v>
      </c>
      <c r="DE29" s="9">
        <f t="shared" si="8"/>
        <v>12</v>
      </c>
      <c r="DF29" s="127">
        <f t="shared" si="9"/>
        <v>1.6</v>
      </c>
      <c r="DG29" s="9">
        <f t="shared" si="10"/>
        <v>15</v>
      </c>
      <c r="DH29" s="129">
        <f t="shared" si="11"/>
        <v>-1.1333333333333331</v>
      </c>
      <c r="DI29" s="152">
        <f t="shared" si="22"/>
        <v>-1.7999999999999998</v>
      </c>
      <c r="DJ29" s="129">
        <f t="shared" si="13"/>
        <v>0.85000000000000009</v>
      </c>
      <c r="DK29" s="9"/>
      <c r="DL29" s="7"/>
      <c r="DM29" s="9"/>
      <c r="DN29" s="7"/>
      <c r="DO29" s="9">
        <f t="shared" si="14"/>
        <v>10</v>
      </c>
      <c r="DP29" s="114">
        <f t="shared" si="15"/>
        <v>12</v>
      </c>
      <c r="DQ29" s="114">
        <f t="shared" si="16"/>
        <v>5</v>
      </c>
      <c r="DR29" s="131">
        <v>1</v>
      </c>
      <c r="DS29" s="145"/>
      <c r="DT29" s="145"/>
      <c r="DU29" s="145"/>
      <c r="DV29" s="145"/>
      <c r="DW29" s="145"/>
      <c r="DX29" s="145"/>
      <c r="DY29" s="145"/>
      <c r="DZ29" s="145"/>
      <c r="EA29" s="145"/>
      <c r="EB29" s="145"/>
      <c r="EC29" s="145"/>
      <c r="ED29" s="145"/>
      <c r="EE29" s="145"/>
      <c r="EF29" s="136"/>
    </row>
    <row r="30" spans="1:136">
      <c r="A30" s="112">
        <v>1180</v>
      </c>
      <c r="B30" s="153" t="s">
        <v>20</v>
      </c>
      <c r="C30" s="146">
        <v>2526502</v>
      </c>
      <c r="D30" s="112" t="s">
        <v>341</v>
      </c>
      <c r="E30" s="111">
        <v>41</v>
      </c>
      <c r="F30" s="112" t="s">
        <v>318</v>
      </c>
      <c r="G30" s="112"/>
      <c r="H30" s="112" t="s">
        <v>319</v>
      </c>
      <c r="I30" s="112"/>
      <c r="J30" s="113">
        <v>41932</v>
      </c>
      <c r="K30" s="114">
        <v>40</v>
      </c>
      <c r="L30" s="112">
        <v>7</v>
      </c>
      <c r="M30" s="113">
        <v>40664</v>
      </c>
      <c r="N30" s="112">
        <v>2</v>
      </c>
      <c r="O30" s="137">
        <v>42167</v>
      </c>
      <c r="P30" s="5">
        <v>42193</v>
      </c>
      <c r="Q30" s="179"/>
      <c r="R30" s="112"/>
      <c r="S30" s="112"/>
      <c r="T30" s="112"/>
      <c r="U30" s="112"/>
      <c r="V30" s="112"/>
      <c r="W30" s="112"/>
      <c r="X30" s="112"/>
      <c r="Y30" s="140" t="s">
        <v>101</v>
      </c>
      <c r="Z30" s="140" t="s">
        <v>102</v>
      </c>
      <c r="AA30" s="7"/>
      <c r="AB30" s="7"/>
      <c r="AC30" s="7"/>
      <c r="AD30" s="7"/>
      <c r="AE30" s="7"/>
      <c r="AF30" s="7"/>
      <c r="AG30" s="7"/>
      <c r="AH30" s="121">
        <v>1</v>
      </c>
      <c r="AI30" s="124"/>
      <c r="AJ30" s="124"/>
      <c r="AK30" s="121"/>
      <c r="AL30" s="121"/>
      <c r="AM30" s="121"/>
      <c r="AN30" s="121"/>
      <c r="AO30" s="121"/>
      <c r="AP30" s="121"/>
      <c r="AQ30" s="125">
        <v>1026.9000000000001</v>
      </c>
      <c r="AR30" s="125">
        <v>1405</v>
      </c>
      <c r="AS30" s="126"/>
      <c r="AT30" s="126"/>
      <c r="AU30" s="127"/>
      <c r="AV30" s="127"/>
      <c r="AW30" s="127"/>
      <c r="AX30" s="127"/>
      <c r="AY30" s="127"/>
      <c r="AZ30" s="125">
        <v>2.75</v>
      </c>
      <c r="BA30" s="125">
        <v>3.03</v>
      </c>
      <c r="BB30" s="127"/>
      <c r="BC30" s="127"/>
      <c r="BD30" s="127"/>
      <c r="BE30" s="127"/>
      <c r="BF30" s="127"/>
      <c r="BG30" s="127"/>
      <c r="BH30" s="127"/>
      <c r="BI30" s="125">
        <v>39.270000000000003</v>
      </c>
      <c r="BJ30" s="125">
        <v>33.47</v>
      </c>
      <c r="BK30" s="127"/>
      <c r="BL30" s="127"/>
      <c r="BM30" s="127"/>
      <c r="BN30" s="127"/>
      <c r="BO30" s="127"/>
      <c r="BP30" s="127"/>
      <c r="BQ30" s="127"/>
      <c r="BR30" s="125">
        <v>1401.89</v>
      </c>
      <c r="BS30" s="125">
        <v>1047.49</v>
      </c>
      <c r="BT30" s="127"/>
      <c r="BU30" s="127"/>
      <c r="BV30" s="127"/>
      <c r="BW30" s="127"/>
      <c r="BX30" s="127"/>
      <c r="BY30" s="127"/>
      <c r="BZ30" s="127"/>
      <c r="CA30" s="9">
        <v>40</v>
      </c>
      <c r="CB30" s="7">
        <v>41932</v>
      </c>
      <c r="CC30" s="9">
        <f t="shared" si="0"/>
        <v>-8</v>
      </c>
      <c r="CD30" s="9">
        <v>32</v>
      </c>
      <c r="CE30" s="137">
        <v>42167</v>
      </c>
      <c r="CF30" s="128">
        <f t="shared" si="1"/>
        <v>4</v>
      </c>
      <c r="CG30" s="128">
        <f t="shared" si="20"/>
        <v>7</v>
      </c>
      <c r="CH30" s="39">
        <v>32</v>
      </c>
      <c r="CI30" s="40">
        <v>42167</v>
      </c>
      <c r="CJ30" s="18">
        <v>0</v>
      </c>
      <c r="CK30" s="39">
        <v>32</v>
      </c>
      <c r="CL30" s="40">
        <v>42296</v>
      </c>
      <c r="CM30" s="21">
        <v>4</v>
      </c>
      <c r="CN30" s="41">
        <v>30</v>
      </c>
      <c r="CO30" s="42">
        <v>42394</v>
      </c>
      <c r="CP30" s="23">
        <v>7</v>
      </c>
      <c r="CQ30" s="39">
        <v>29</v>
      </c>
      <c r="CR30" s="46">
        <v>42534</v>
      </c>
      <c r="CS30" s="24">
        <v>12</v>
      </c>
      <c r="CT30" s="39">
        <v>22</v>
      </c>
      <c r="CU30" s="46">
        <v>42849</v>
      </c>
      <c r="CV30" s="29">
        <v>22</v>
      </c>
      <c r="CW30" s="9"/>
      <c r="CX30" s="7"/>
      <c r="CY30" s="9"/>
      <c r="CZ30" s="127">
        <f t="shared" si="3"/>
        <v>0.32653061224489793</v>
      </c>
      <c r="DA30" s="127">
        <f t="shared" si="4"/>
        <v>0.32653061224489793</v>
      </c>
      <c r="DB30" s="127">
        <f t="shared" si="5"/>
        <v>1</v>
      </c>
      <c r="DC30" s="127">
        <f t="shared" si="21"/>
        <v>0.2857142857142857</v>
      </c>
      <c r="DD30" s="127">
        <f t="shared" si="7"/>
        <v>0.45454545454545453</v>
      </c>
      <c r="DE30" s="9">
        <f t="shared" si="8"/>
        <v>22</v>
      </c>
      <c r="DF30" s="127">
        <f t="shared" si="9"/>
        <v>0.6</v>
      </c>
      <c r="DG30" s="9">
        <f t="shared" si="10"/>
        <v>30</v>
      </c>
      <c r="DH30" s="129">
        <f t="shared" si="11"/>
        <v>-0.54545454545454541</v>
      </c>
      <c r="DI30" s="152">
        <f t="shared" si="22"/>
        <v>-0.7142857142857143</v>
      </c>
      <c r="DJ30" s="129">
        <f t="shared" si="13"/>
        <v>0.27346938775510204</v>
      </c>
      <c r="DK30" s="9"/>
      <c r="DL30" s="7"/>
      <c r="DM30" s="9"/>
      <c r="DN30" s="7"/>
      <c r="DO30" s="9">
        <f t="shared" si="14"/>
        <v>42</v>
      </c>
      <c r="DP30" s="114">
        <f t="shared" si="15"/>
        <v>49</v>
      </c>
      <c r="DQ30" s="114">
        <f t="shared" si="16"/>
        <v>8</v>
      </c>
      <c r="DR30" s="131">
        <v>1</v>
      </c>
      <c r="DS30" s="145"/>
      <c r="DT30" s="145"/>
      <c r="DU30" s="145"/>
      <c r="DV30" s="145"/>
      <c r="DW30" s="145"/>
      <c r="DX30" s="145"/>
      <c r="DY30" s="145"/>
      <c r="DZ30" s="145"/>
      <c r="EA30" s="145"/>
      <c r="EB30" s="145"/>
      <c r="EC30" s="145"/>
      <c r="ED30" s="145"/>
      <c r="EE30" s="145"/>
      <c r="EF30" s="136"/>
    </row>
    <row r="31" spans="1:136">
      <c r="A31" s="112">
        <v>1055</v>
      </c>
      <c r="B31" s="153" t="s">
        <v>21</v>
      </c>
      <c r="C31" s="146">
        <v>2504108</v>
      </c>
      <c r="D31" s="112" t="s">
        <v>342</v>
      </c>
      <c r="E31" s="111">
        <v>45</v>
      </c>
      <c r="F31" s="112" t="s">
        <v>318</v>
      </c>
      <c r="G31" s="112"/>
      <c r="H31" s="112" t="s">
        <v>319</v>
      </c>
      <c r="I31" s="112"/>
      <c r="J31" s="113">
        <v>41541</v>
      </c>
      <c r="K31" s="114">
        <v>45</v>
      </c>
      <c r="L31" s="112">
        <v>20</v>
      </c>
      <c r="M31" s="113">
        <v>41244</v>
      </c>
      <c r="N31" s="112">
        <v>2</v>
      </c>
      <c r="O31" s="137">
        <v>42174</v>
      </c>
      <c r="P31" s="5">
        <v>42200</v>
      </c>
      <c r="Q31" s="179"/>
      <c r="R31" s="112"/>
      <c r="S31" s="112"/>
      <c r="T31" s="112"/>
      <c r="U31" s="112"/>
      <c r="V31" s="112"/>
      <c r="W31" s="112"/>
      <c r="X31" s="112"/>
      <c r="Y31" s="140" t="s">
        <v>103</v>
      </c>
      <c r="Z31" s="140" t="s">
        <v>104</v>
      </c>
      <c r="AA31" s="7"/>
      <c r="AB31" s="7"/>
      <c r="AC31" s="7"/>
      <c r="AD31" s="7"/>
      <c r="AE31" s="7"/>
      <c r="AF31" s="7"/>
      <c r="AG31" s="7"/>
      <c r="AH31" s="121">
        <v>1</v>
      </c>
      <c r="AI31" s="124"/>
      <c r="AJ31" s="124"/>
      <c r="AK31" s="124"/>
      <c r="AL31" s="124"/>
      <c r="AM31" s="124"/>
      <c r="AN31" s="121"/>
      <c r="AO31" s="121"/>
      <c r="AP31" s="121"/>
      <c r="AQ31" s="125">
        <v>1467.8</v>
      </c>
      <c r="AR31" s="125">
        <v>2129.9</v>
      </c>
      <c r="AS31" s="126"/>
      <c r="AT31" s="126"/>
      <c r="AU31" s="127"/>
      <c r="AV31" s="127"/>
      <c r="AW31" s="127"/>
      <c r="AX31" s="127"/>
      <c r="AY31" s="127"/>
      <c r="AZ31" s="125">
        <v>2.6</v>
      </c>
      <c r="BA31" s="125">
        <v>2.89</v>
      </c>
      <c r="BB31" s="127"/>
      <c r="BC31" s="127"/>
      <c r="BD31" s="127"/>
      <c r="BE31" s="127"/>
      <c r="BF31" s="127"/>
      <c r="BG31" s="127"/>
      <c r="BH31" s="127"/>
      <c r="BI31" s="125">
        <v>41.14</v>
      </c>
      <c r="BJ31" s="125">
        <v>40.729999999999997</v>
      </c>
      <c r="BK31" s="127"/>
      <c r="BL31" s="127"/>
      <c r="BM31" s="127"/>
      <c r="BN31" s="127"/>
      <c r="BO31" s="127"/>
      <c r="BP31" s="127"/>
      <c r="BQ31" s="127"/>
      <c r="BR31" s="125">
        <v>575.21</v>
      </c>
      <c r="BS31" s="125">
        <v>512.72</v>
      </c>
      <c r="BT31" s="127"/>
      <c r="BU31" s="127"/>
      <c r="BV31" s="127"/>
      <c r="BW31" s="127"/>
      <c r="BX31" s="127"/>
      <c r="BY31" s="127"/>
      <c r="BZ31" s="127"/>
      <c r="CA31" s="9">
        <v>45</v>
      </c>
      <c r="CB31" s="7">
        <v>41541</v>
      </c>
      <c r="CC31" s="9">
        <f t="shared" si="0"/>
        <v>-21</v>
      </c>
      <c r="CD31" s="9">
        <v>35</v>
      </c>
      <c r="CE31" s="137">
        <v>42174</v>
      </c>
      <c r="CF31" s="128">
        <f t="shared" si="1"/>
        <v>4</v>
      </c>
      <c r="CG31" s="128">
        <f t="shared" si="20"/>
        <v>7</v>
      </c>
      <c r="CH31" s="39">
        <v>35</v>
      </c>
      <c r="CI31" s="40">
        <v>42174</v>
      </c>
      <c r="CJ31" s="18">
        <v>0</v>
      </c>
      <c r="CK31" s="39">
        <v>36</v>
      </c>
      <c r="CL31" s="40">
        <v>42282</v>
      </c>
      <c r="CM31" s="21">
        <v>4</v>
      </c>
      <c r="CN31" s="41">
        <v>36</v>
      </c>
      <c r="CO31" s="42">
        <v>42380</v>
      </c>
      <c r="CP31" s="23">
        <v>7</v>
      </c>
      <c r="CQ31" s="39">
        <v>36</v>
      </c>
      <c r="CR31" s="46">
        <v>42541</v>
      </c>
      <c r="CS31" s="29">
        <v>12</v>
      </c>
      <c r="CT31" s="12"/>
      <c r="CU31" s="11"/>
      <c r="CV31" s="12"/>
      <c r="CW31" s="27"/>
      <c r="CX31" s="27"/>
      <c r="CY31" s="28"/>
      <c r="CZ31" s="127">
        <f t="shared" si="3"/>
        <v>0.43333333333333335</v>
      </c>
      <c r="DA31" s="127">
        <f t="shared" si="4"/>
        <v>0.43333333333333335</v>
      </c>
      <c r="DB31" s="127">
        <f t="shared" si="5"/>
        <v>0.47619047619047616</v>
      </c>
      <c r="DC31" s="127">
        <f t="shared" si="21"/>
        <v>-0.14285714285714285</v>
      </c>
      <c r="DD31" s="127">
        <f t="shared" si="7"/>
        <v>0</v>
      </c>
      <c r="DE31" s="9">
        <f t="shared" si="8"/>
        <v>12</v>
      </c>
      <c r="DF31" s="127">
        <f t="shared" si="9"/>
        <v>0.30303030303030304</v>
      </c>
      <c r="DG31" s="9">
        <f t="shared" si="10"/>
        <v>33</v>
      </c>
      <c r="DH31" s="129">
        <f t="shared" si="11"/>
        <v>-0.47619047619047616</v>
      </c>
      <c r="DI31" s="152">
        <f t="shared" si="22"/>
        <v>-0.61904761904761907</v>
      </c>
      <c r="DJ31" s="129">
        <f t="shared" si="13"/>
        <v>-0.13030303030303031</v>
      </c>
      <c r="DK31" s="9"/>
      <c r="DL31" s="7"/>
      <c r="DM31" s="9"/>
      <c r="DN31" s="7"/>
      <c r="DO31" s="9">
        <f t="shared" si="14"/>
        <v>10</v>
      </c>
      <c r="DP31" s="114">
        <f t="shared" si="15"/>
        <v>30</v>
      </c>
      <c r="DQ31" s="114">
        <f t="shared" si="16"/>
        <v>21</v>
      </c>
      <c r="DR31" s="131">
        <v>1</v>
      </c>
      <c r="DS31" s="145"/>
      <c r="DT31" s="145"/>
      <c r="DU31" s="145"/>
      <c r="DV31" s="145"/>
      <c r="DW31" s="145"/>
      <c r="DX31" s="145"/>
      <c r="DY31" s="145"/>
      <c r="DZ31" s="145"/>
      <c r="EA31" s="145"/>
      <c r="EB31" s="145"/>
      <c r="EC31" s="145"/>
      <c r="ED31" s="145"/>
      <c r="EE31" s="145"/>
      <c r="EF31" s="136"/>
    </row>
    <row r="32" spans="1:136">
      <c r="A32" s="112">
        <v>1464</v>
      </c>
      <c r="B32" s="153" t="s">
        <v>22</v>
      </c>
      <c r="C32" s="146">
        <v>2571835</v>
      </c>
      <c r="D32" s="112" t="s">
        <v>343</v>
      </c>
      <c r="E32" s="111">
        <v>66</v>
      </c>
      <c r="F32" s="112" t="s">
        <v>318</v>
      </c>
      <c r="G32" s="112"/>
      <c r="H32" s="112" t="s">
        <v>319</v>
      </c>
      <c r="I32" s="112"/>
      <c r="J32" s="113">
        <v>42062</v>
      </c>
      <c r="K32" s="114">
        <v>39</v>
      </c>
      <c r="L32" s="112">
        <v>5</v>
      </c>
      <c r="M32" s="113">
        <v>41395</v>
      </c>
      <c r="N32" s="112">
        <v>2</v>
      </c>
      <c r="O32" s="137">
        <v>42222</v>
      </c>
      <c r="P32" s="5">
        <v>42248</v>
      </c>
      <c r="Q32" s="179"/>
      <c r="R32" s="112"/>
      <c r="S32" s="112"/>
      <c r="T32" s="112"/>
      <c r="U32" s="112"/>
      <c r="V32" s="112"/>
      <c r="W32" s="112"/>
      <c r="X32" s="112"/>
      <c r="Y32" s="140" t="s">
        <v>105</v>
      </c>
      <c r="Z32" s="140" t="s">
        <v>106</v>
      </c>
      <c r="AA32" s="7"/>
      <c r="AB32" s="7"/>
      <c r="AC32" s="7"/>
      <c r="AD32" s="7"/>
      <c r="AE32" s="7"/>
      <c r="AF32" s="7"/>
      <c r="AG32" s="7"/>
      <c r="AH32" s="121">
        <v>1</v>
      </c>
      <c r="AI32" s="124"/>
      <c r="AJ32" s="124"/>
      <c r="AK32" s="124"/>
      <c r="AL32" s="124"/>
      <c r="AM32" s="124"/>
      <c r="AN32" s="121"/>
      <c r="AO32" s="121"/>
      <c r="AP32" s="121"/>
      <c r="AQ32" s="125">
        <v>836.5</v>
      </c>
      <c r="AR32" s="125">
        <v>1191.1199999999999</v>
      </c>
      <c r="AS32" s="126"/>
      <c r="AT32" s="126"/>
      <c r="AU32" s="127"/>
      <c r="AV32" s="127"/>
      <c r="AW32" s="127"/>
      <c r="AX32" s="127"/>
      <c r="AY32" s="127"/>
      <c r="AZ32" s="125">
        <v>2.08</v>
      </c>
      <c r="BA32" s="125">
        <v>4.32</v>
      </c>
      <c r="BB32" s="127"/>
      <c r="BC32" s="127"/>
      <c r="BD32" s="127"/>
      <c r="BE32" s="127"/>
      <c r="BF32" s="127"/>
      <c r="BG32" s="127"/>
      <c r="BH32" s="127"/>
      <c r="BI32" s="125">
        <v>43.35</v>
      </c>
      <c r="BJ32" s="125">
        <v>59.19</v>
      </c>
      <c r="BK32" s="127"/>
      <c r="BL32" s="127"/>
      <c r="BM32" s="127"/>
      <c r="BN32" s="127"/>
      <c r="BO32" s="127"/>
      <c r="BP32" s="127"/>
      <c r="BQ32" s="127"/>
      <c r="BR32" s="125">
        <v>1357.64</v>
      </c>
      <c r="BS32" s="125">
        <v>926.75</v>
      </c>
      <c r="BT32" s="127"/>
      <c r="BU32" s="127"/>
      <c r="BV32" s="127"/>
      <c r="BW32" s="127"/>
      <c r="BX32" s="127"/>
      <c r="BY32" s="127"/>
      <c r="BZ32" s="127"/>
      <c r="CA32" s="9">
        <v>39</v>
      </c>
      <c r="CB32" s="7">
        <v>42062</v>
      </c>
      <c r="CC32" s="9">
        <f t="shared" si="0"/>
        <v>-5</v>
      </c>
      <c r="CD32" s="9">
        <v>30</v>
      </c>
      <c r="CE32" s="137">
        <v>42222</v>
      </c>
      <c r="CF32" s="128">
        <f t="shared" si="1"/>
        <v>3</v>
      </c>
      <c r="CG32" s="128">
        <f t="shared" si="20"/>
        <v>7</v>
      </c>
      <c r="CH32" s="39">
        <v>30</v>
      </c>
      <c r="CI32" s="40">
        <v>42222</v>
      </c>
      <c r="CJ32" s="18">
        <v>0</v>
      </c>
      <c r="CK32" s="39">
        <v>25</v>
      </c>
      <c r="CL32" s="40">
        <v>42317</v>
      </c>
      <c r="CM32" s="21">
        <v>3</v>
      </c>
      <c r="CN32" s="47">
        <v>21</v>
      </c>
      <c r="CO32" s="48">
        <v>42443</v>
      </c>
      <c r="CP32" s="49">
        <v>7</v>
      </c>
      <c r="CQ32" s="39">
        <v>14</v>
      </c>
      <c r="CR32" s="46">
        <v>42639</v>
      </c>
      <c r="CS32" s="29">
        <v>14</v>
      </c>
      <c r="CT32" s="12">
        <v>1</v>
      </c>
      <c r="CU32" s="11">
        <v>43283</v>
      </c>
      <c r="CV32" s="12">
        <v>35</v>
      </c>
      <c r="CW32" s="27"/>
      <c r="CX32" s="27"/>
      <c r="CY32" s="28"/>
      <c r="CZ32" s="127">
        <f t="shared" si="3"/>
        <v>0.66666666666666663</v>
      </c>
      <c r="DA32" s="127">
        <f t="shared" si="4"/>
        <v>0.66666666666666663</v>
      </c>
      <c r="DB32" s="127">
        <f t="shared" si="5"/>
        <v>1.8</v>
      </c>
      <c r="DC32" s="127">
        <f t="shared" si="21"/>
        <v>1.2857142857142858</v>
      </c>
      <c r="DD32" s="127">
        <f t="shared" si="7"/>
        <v>0.82857142857142863</v>
      </c>
      <c r="DE32" s="9">
        <f t="shared" si="8"/>
        <v>35</v>
      </c>
      <c r="DF32" s="127">
        <f t="shared" si="9"/>
        <v>0.95</v>
      </c>
      <c r="DG32" s="9">
        <f t="shared" si="10"/>
        <v>40</v>
      </c>
      <c r="DH32" s="129">
        <f t="shared" si="11"/>
        <v>-0.97142857142857142</v>
      </c>
      <c r="DI32" s="152">
        <f t="shared" si="22"/>
        <v>-0.51428571428571423</v>
      </c>
      <c r="DJ32" s="129">
        <f t="shared" si="13"/>
        <v>0.28333333333333333</v>
      </c>
      <c r="DK32" s="9"/>
      <c r="DL32" s="7"/>
      <c r="DM32" s="9"/>
      <c r="DN32" s="7"/>
      <c r="DO32" s="9">
        <f t="shared" si="14"/>
        <v>22</v>
      </c>
      <c r="DP32" s="114">
        <f t="shared" si="15"/>
        <v>27</v>
      </c>
      <c r="DQ32" s="114">
        <f t="shared" si="16"/>
        <v>5</v>
      </c>
      <c r="DR32" s="131">
        <v>1</v>
      </c>
      <c r="DS32" s="145"/>
      <c r="DT32" s="145"/>
      <c r="DU32" s="145"/>
      <c r="DV32" s="145"/>
      <c r="DW32" s="145"/>
      <c r="DX32" s="145"/>
      <c r="DY32" s="145"/>
      <c r="DZ32" s="145"/>
      <c r="EA32" s="145"/>
      <c r="EB32" s="145"/>
      <c r="EC32" s="145"/>
      <c r="ED32" s="145"/>
      <c r="EE32" s="145"/>
      <c r="EF32" s="136"/>
    </row>
    <row r="33" spans="1:136">
      <c r="A33" s="112">
        <v>1153</v>
      </c>
      <c r="B33" s="142" t="s">
        <v>23</v>
      </c>
      <c r="C33" s="146">
        <v>2522899</v>
      </c>
      <c r="D33" s="112" t="s">
        <v>344</v>
      </c>
      <c r="E33" s="111">
        <v>80</v>
      </c>
      <c r="F33" s="112" t="s">
        <v>318</v>
      </c>
      <c r="G33" s="112"/>
      <c r="H33" s="112" t="s">
        <v>319</v>
      </c>
      <c r="I33" s="112"/>
      <c r="J33" s="113">
        <v>41682</v>
      </c>
      <c r="K33" s="114">
        <v>39</v>
      </c>
      <c r="L33" s="112">
        <v>19</v>
      </c>
      <c r="M33" s="113">
        <v>40878</v>
      </c>
      <c r="N33" s="112">
        <v>2</v>
      </c>
      <c r="O33" s="137">
        <v>42272</v>
      </c>
      <c r="P33" s="5">
        <v>42298</v>
      </c>
      <c r="Q33" s="179"/>
      <c r="R33" s="112"/>
      <c r="S33" s="112"/>
      <c r="T33" s="112"/>
      <c r="U33" s="112"/>
      <c r="V33" s="112"/>
      <c r="W33" s="112"/>
      <c r="X33" s="112"/>
      <c r="Y33" s="140" t="s">
        <v>107</v>
      </c>
      <c r="Z33" s="140" t="s">
        <v>108</v>
      </c>
      <c r="AA33" s="7"/>
      <c r="AB33" s="7"/>
      <c r="AC33" s="7"/>
      <c r="AD33" s="7"/>
      <c r="AE33" s="7"/>
      <c r="AF33" s="7"/>
      <c r="AG33" s="7"/>
      <c r="AH33" s="121">
        <v>1</v>
      </c>
      <c r="AI33" s="124"/>
      <c r="AJ33" s="124"/>
      <c r="AK33" s="124"/>
      <c r="AL33" s="124"/>
      <c r="AM33" s="124"/>
      <c r="AN33" s="124"/>
      <c r="AO33" s="124"/>
      <c r="AP33" s="124"/>
      <c r="AQ33" s="125">
        <v>580.92999999999995</v>
      </c>
      <c r="AR33" s="125">
        <v>1296.33</v>
      </c>
      <c r="AS33" s="126"/>
      <c r="AT33" s="126"/>
      <c r="AU33" s="127"/>
      <c r="AV33" s="127"/>
      <c r="AW33" s="127"/>
      <c r="AX33" s="127"/>
      <c r="AY33" s="127"/>
      <c r="AZ33" s="125">
        <v>1.33</v>
      </c>
      <c r="BA33" s="125">
        <v>2.08</v>
      </c>
      <c r="BB33" s="127"/>
      <c r="BC33" s="127"/>
      <c r="BD33" s="127"/>
      <c r="BE33" s="127"/>
      <c r="BF33" s="127"/>
      <c r="BG33" s="127"/>
      <c r="BH33" s="127"/>
      <c r="BI33" s="125">
        <v>37.99</v>
      </c>
      <c r="BJ33" s="125">
        <v>63.75</v>
      </c>
      <c r="BK33" s="127"/>
      <c r="BL33" s="127"/>
      <c r="BM33" s="127"/>
      <c r="BN33" s="127"/>
      <c r="BO33" s="127"/>
      <c r="BP33" s="127"/>
      <c r="BQ33" s="127"/>
      <c r="BR33" s="125">
        <v>1018.53</v>
      </c>
      <c r="BS33" s="125">
        <v>695.62</v>
      </c>
      <c r="BT33" s="127"/>
      <c r="BU33" s="127"/>
      <c r="BV33" s="127"/>
      <c r="BW33" s="127"/>
      <c r="BX33" s="127"/>
      <c r="BY33" s="127"/>
      <c r="BZ33" s="127"/>
      <c r="CA33" s="9">
        <v>39</v>
      </c>
      <c r="CB33" s="7">
        <v>41682</v>
      </c>
      <c r="CC33" s="9">
        <f t="shared" si="0"/>
        <v>-19</v>
      </c>
      <c r="CD33" s="9">
        <v>30</v>
      </c>
      <c r="CE33" s="137">
        <v>42272</v>
      </c>
      <c r="CF33" s="128">
        <f t="shared" si="1"/>
        <v>3</v>
      </c>
      <c r="CG33" s="128">
        <f t="shared" si="20"/>
        <v>6</v>
      </c>
      <c r="CH33" s="39">
        <v>30</v>
      </c>
      <c r="CI33" s="40">
        <v>42272</v>
      </c>
      <c r="CJ33" s="18">
        <v>0</v>
      </c>
      <c r="CK33" s="39">
        <v>30</v>
      </c>
      <c r="CL33" s="40">
        <v>42359</v>
      </c>
      <c r="CM33" s="21">
        <v>3</v>
      </c>
      <c r="CN33" s="41">
        <v>29</v>
      </c>
      <c r="CO33" s="42">
        <v>42457</v>
      </c>
      <c r="CP33" s="23">
        <v>6</v>
      </c>
      <c r="CQ33" s="39">
        <v>28</v>
      </c>
      <c r="CR33" s="46">
        <v>42636</v>
      </c>
      <c r="CS33" s="24">
        <v>12</v>
      </c>
      <c r="CT33" s="39">
        <v>28</v>
      </c>
      <c r="CU33" s="46">
        <v>42972</v>
      </c>
      <c r="CV33" s="29">
        <v>23</v>
      </c>
      <c r="CW33" s="9"/>
      <c r="CX33" s="7"/>
      <c r="CY33" s="9"/>
      <c r="CZ33" s="127">
        <f t="shared" si="3"/>
        <v>0.39130434782608697</v>
      </c>
      <c r="DA33" s="127">
        <f t="shared" si="4"/>
        <v>0.39130434782608697</v>
      </c>
      <c r="DB33" s="127">
        <f t="shared" si="5"/>
        <v>0.47368421052631576</v>
      </c>
      <c r="DC33" s="127">
        <f t="shared" si="21"/>
        <v>0.16666666666666666</v>
      </c>
      <c r="DD33" s="127">
        <f t="shared" si="7"/>
        <v>8.6956521739130432E-2</v>
      </c>
      <c r="DE33" s="9">
        <f t="shared" si="8"/>
        <v>23</v>
      </c>
      <c r="DF33" s="127">
        <f t="shared" si="9"/>
        <v>0.26190476190476192</v>
      </c>
      <c r="DG33" s="9">
        <f t="shared" si="10"/>
        <v>42</v>
      </c>
      <c r="DH33" s="129">
        <f t="shared" si="11"/>
        <v>-0.38672768878718533</v>
      </c>
      <c r="DI33" s="144">
        <f t="shared" si="22"/>
        <v>-0.30701754385964908</v>
      </c>
      <c r="DJ33" s="129">
        <f t="shared" si="13"/>
        <v>-0.12939958592132506</v>
      </c>
      <c r="DK33" s="9"/>
      <c r="DL33" s="7"/>
      <c r="DM33" s="9"/>
      <c r="DN33" s="7"/>
      <c r="DO33" s="9">
        <f t="shared" si="14"/>
        <v>26</v>
      </c>
      <c r="DP33" s="114">
        <f t="shared" si="15"/>
        <v>46</v>
      </c>
      <c r="DQ33" s="114">
        <f t="shared" si="16"/>
        <v>19</v>
      </c>
      <c r="DR33" s="131">
        <v>1</v>
      </c>
      <c r="DS33" s="145"/>
      <c r="DT33" s="145"/>
      <c r="DU33" s="145"/>
      <c r="DV33" s="145"/>
      <c r="DW33" s="145"/>
      <c r="DX33" s="145"/>
      <c r="DY33" s="145"/>
      <c r="DZ33" s="145"/>
      <c r="EA33" s="145"/>
      <c r="EB33" s="145"/>
      <c r="EC33" s="145"/>
      <c r="ED33" s="145"/>
      <c r="EE33" s="145"/>
      <c r="EF33" s="136"/>
    </row>
    <row r="34" spans="1:136">
      <c r="A34" s="112">
        <v>973</v>
      </c>
      <c r="B34" s="142" t="s">
        <v>24</v>
      </c>
      <c r="C34" s="146">
        <v>2481142</v>
      </c>
      <c r="D34" s="112" t="s">
        <v>345</v>
      </c>
      <c r="E34" s="111">
        <v>57</v>
      </c>
      <c r="F34" s="112" t="s">
        <v>318</v>
      </c>
      <c r="G34" s="112"/>
      <c r="H34" s="112" t="s">
        <v>319</v>
      </c>
      <c r="I34" s="112"/>
      <c r="J34" s="113">
        <v>41359</v>
      </c>
      <c r="K34" s="114">
        <v>46</v>
      </c>
      <c r="L34" s="112">
        <v>27</v>
      </c>
      <c r="M34" s="113">
        <v>40909</v>
      </c>
      <c r="N34" s="112">
        <v>2</v>
      </c>
      <c r="O34" s="137">
        <v>42194</v>
      </c>
      <c r="P34" s="5">
        <v>42220</v>
      </c>
      <c r="Q34" s="179"/>
      <c r="R34" s="112"/>
      <c r="S34" s="112"/>
      <c r="T34" s="112"/>
      <c r="U34" s="112"/>
      <c r="V34" s="112"/>
      <c r="W34" s="112"/>
      <c r="X34" s="112"/>
      <c r="Y34" s="140" t="s">
        <v>109</v>
      </c>
      <c r="Z34" s="140" t="s">
        <v>110</v>
      </c>
      <c r="AA34" s="7"/>
      <c r="AB34" s="7"/>
      <c r="AC34" s="7"/>
      <c r="AD34" s="7"/>
      <c r="AE34" s="7"/>
      <c r="AF34" s="7"/>
      <c r="AG34" s="7"/>
      <c r="AH34" s="121">
        <v>1</v>
      </c>
      <c r="AI34" s="124"/>
      <c r="AJ34" s="121"/>
      <c r="AK34" s="124"/>
      <c r="AL34" s="124"/>
      <c r="AM34" s="124"/>
      <c r="AN34" s="121"/>
      <c r="AO34" s="121"/>
      <c r="AP34" s="121"/>
      <c r="AQ34" s="125">
        <v>748</v>
      </c>
      <c r="AR34" s="125">
        <v>1230.1000000000001</v>
      </c>
      <c r="AS34" s="126"/>
      <c r="AT34" s="126"/>
      <c r="AU34" s="127"/>
      <c r="AV34" s="127"/>
      <c r="AW34" s="127"/>
      <c r="AX34" s="127"/>
      <c r="AY34" s="127"/>
      <c r="AZ34" s="125">
        <v>2.0299999999999998</v>
      </c>
      <c r="BA34" s="125">
        <v>3.03</v>
      </c>
      <c r="BB34" s="127"/>
      <c r="BC34" s="127"/>
      <c r="BD34" s="127"/>
      <c r="BE34" s="127"/>
      <c r="BF34" s="127"/>
      <c r="BG34" s="127"/>
      <c r="BH34" s="127"/>
      <c r="BI34" s="125">
        <v>38.56</v>
      </c>
      <c r="BJ34" s="125">
        <v>61.91</v>
      </c>
      <c r="BK34" s="127"/>
      <c r="BL34" s="127"/>
      <c r="BM34" s="127"/>
      <c r="BN34" s="127"/>
      <c r="BO34" s="127"/>
      <c r="BP34" s="127"/>
      <c r="BQ34" s="127"/>
      <c r="BR34" s="125">
        <v>763.37</v>
      </c>
      <c r="BS34" s="125">
        <v>577.07000000000005</v>
      </c>
      <c r="BT34" s="127"/>
      <c r="BU34" s="127"/>
      <c r="BV34" s="127"/>
      <c r="BW34" s="127"/>
      <c r="BX34" s="127"/>
      <c r="BY34" s="127"/>
      <c r="BZ34" s="127"/>
      <c r="CA34" s="9">
        <v>46</v>
      </c>
      <c r="CB34" s="7">
        <v>41359</v>
      </c>
      <c r="CC34" s="9">
        <f t="shared" ref="CC34:CC65" si="23">ROUND((CB34-Y34)/30.5,0)</f>
        <v>-27</v>
      </c>
      <c r="CD34" s="9">
        <v>40</v>
      </c>
      <c r="CE34" s="137">
        <v>42194</v>
      </c>
      <c r="CF34" s="128">
        <f t="shared" ref="CF34:CF65" si="24">ROUND((CL34-CE34)/30.5,0)</f>
        <v>7</v>
      </c>
      <c r="CG34" s="128">
        <f t="shared" si="20"/>
        <v>12</v>
      </c>
      <c r="CH34" s="39">
        <v>40</v>
      </c>
      <c r="CI34" s="40">
        <v>42194</v>
      </c>
      <c r="CJ34" s="18">
        <v>0</v>
      </c>
      <c r="CK34" s="41">
        <v>40</v>
      </c>
      <c r="CL34" s="42">
        <v>42394</v>
      </c>
      <c r="CM34" s="23">
        <v>7</v>
      </c>
      <c r="CN34" s="39">
        <v>40</v>
      </c>
      <c r="CO34" s="46">
        <v>42569</v>
      </c>
      <c r="CP34" s="24">
        <v>12</v>
      </c>
      <c r="CQ34" s="8">
        <v>39</v>
      </c>
      <c r="CR34" s="6">
        <v>43255</v>
      </c>
      <c r="CS34" s="8">
        <v>35</v>
      </c>
      <c r="CT34" s="34"/>
      <c r="CU34" s="34"/>
      <c r="CV34" s="28"/>
      <c r="CW34" s="27"/>
      <c r="CX34" s="27"/>
      <c r="CY34" s="28"/>
      <c r="CZ34" s="127">
        <f t="shared" ref="CZ34:CZ65" si="25">(48-CH34)/DP34</f>
        <v>0.19047619047619047</v>
      </c>
      <c r="DA34" s="127">
        <f t="shared" ref="DA34:DA65" si="26">(48-CD34)/DP34</f>
        <v>0.19047619047619047</v>
      </c>
      <c r="DB34" s="127">
        <f t="shared" ref="DB34:DB65" si="27">(CA34-CD34)/DQ34</f>
        <v>0.22222222222222221</v>
      </c>
      <c r="DC34" s="127">
        <f t="shared" si="21"/>
        <v>0</v>
      </c>
      <c r="DD34" s="127">
        <f t="shared" ref="DD34:DD65" si="28">((CH34-MIN(CA34,CH34,CK34,CN34,CQ34,CT34,CW34)))/DE34</f>
        <v>2.8571428571428571E-2</v>
      </c>
      <c r="DE34" s="9">
        <f t="shared" ref="DE34:DE65" si="29">ROUND((MAX(CI34,CL34,CO34,CR34,CU34,CX34)-CI34)/30.5,0)</f>
        <v>35</v>
      </c>
      <c r="DF34" s="127">
        <f t="shared" ref="DF34:DF65" si="30">((CA34-MIN(CA34,CH34,CK34,CN34,CQ34,CT34,CW34)))/DG34</f>
        <v>0.11290322580645161</v>
      </c>
      <c r="DG34" s="9">
        <f t="shared" ref="DG34:DG65" si="31">ROUND((MAX(CI34,CL34,CO34,CR34,CU34,CX34)-CB34)/30.5,0)</f>
        <v>62</v>
      </c>
      <c r="DH34" s="129">
        <f t="shared" ref="DH34:DH65" si="32">DD34-DB34</f>
        <v>-0.19365079365079363</v>
      </c>
      <c r="DI34" s="144">
        <f t="shared" si="22"/>
        <v>-0.22222222222222221</v>
      </c>
      <c r="DJ34" s="129">
        <f t="shared" ref="DJ34:DJ65" si="33">DF34-CZ34</f>
        <v>-7.7572964669738856E-2</v>
      </c>
      <c r="DK34" s="9"/>
      <c r="DL34" s="7"/>
      <c r="DM34" s="9"/>
      <c r="DN34" s="7"/>
      <c r="DO34" s="9">
        <f t="shared" ref="DO34:DO65" si="34">ROUND((CB34-M34)/30.5,0)</f>
        <v>15</v>
      </c>
      <c r="DP34" s="114">
        <f t="shared" ref="DP34:DP65" si="35">ROUND((CI34-M34)/30.5,0)</f>
        <v>42</v>
      </c>
      <c r="DQ34" s="114">
        <f t="shared" ref="DQ34:DQ65" si="36">ROUND((CE34-CB34)/30.5,0)</f>
        <v>27</v>
      </c>
      <c r="DR34" s="131">
        <v>1</v>
      </c>
      <c r="DS34" s="145"/>
      <c r="DT34" s="145"/>
      <c r="DU34" s="145"/>
      <c r="DV34" s="145"/>
      <c r="DW34" s="145"/>
      <c r="DX34" s="145"/>
      <c r="DY34" s="145"/>
      <c r="DZ34" s="145"/>
      <c r="EA34" s="145"/>
      <c r="EB34" s="145"/>
      <c r="EC34" s="145"/>
      <c r="ED34" s="145"/>
      <c r="EE34" s="145"/>
      <c r="EF34" s="156"/>
    </row>
    <row r="35" spans="1:136">
      <c r="A35" s="112">
        <v>1769</v>
      </c>
      <c r="B35" s="142" t="s">
        <v>25</v>
      </c>
      <c r="C35" s="146">
        <v>2625891</v>
      </c>
      <c r="D35" s="112" t="s">
        <v>346</v>
      </c>
      <c r="E35" s="111">
        <v>137</v>
      </c>
      <c r="F35" s="112" t="s">
        <v>313</v>
      </c>
      <c r="G35" s="112"/>
      <c r="H35" s="112" t="s">
        <v>314</v>
      </c>
      <c r="I35" s="112"/>
      <c r="J35" s="113">
        <v>42482</v>
      </c>
      <c r="K35" s="114">
        <v>39</v>
      </c>
      <c r="L35" s="112">
        <v>15</v>
      </c>
      <c r="M35" s="113">
        <v>41821</v>
      </c>
      <c r="N35" s="112">
        <v>2</v>
      </c>
      <c r="O35" s="137">
        <v>42957</v>
      </c>
      <c r="P35" s="5">
        <v>42983</v>
      </c>
      <c r="Q35" s="179"/>
      <c r="R35" s="112"/>
      <c r="S35" s="112"/>
      <c r="T35" s="112"/>
      <c r="U35" s="112"/>
      <c r="V35" s="112"/>
      <c r="W35" s="112"/>
      <c r="X35" s="112"/>
      <c r="Y35" s="140">
        <v>42957</v>
      </c>
      <c r="Z35" s="140">
        <v>42983</v>
      </c>
      <c r="AA35" s="7"/>
      <c r="AB35" s="7"/>
      <c r="AC35" s="7"/>
      <c r="AD35" s="7"/>
      <c r="AE35" s="7"/>
      <c r="AF35" s="7"/>
      <c r="AG35" s="7"/>
      <c r="AH35" s="121">
        <v>1</v>
      </c>
      <c r="AI35" s="124"/>
      <c r="AJ35" s="121"/>
      <c r="AK35" s="124"/>
      <c r="AL35" s="124"/>
      <c r="AM35" s="124"/>
      <c r="AN35" s="124"/>
      <c r="AO35" s="124"/>
      <c r="AP35" s="124"/>
      <c r="AQ35" s="125">
        <v>1717</v>
      </c>
      <c r="AR35" s="125">
        <v>6574.4000000000005</v>
      </c>
      <c r="AS35" s="126"/>
      <c r="AT35" s="126"/>
      <c r="AU35" s="127"/>
      <c r="AV35" s="127"/>
      <c r="AW35" s="127"/>
      <c r="AX35" s="127"/>
      <c r="AY35" s="127"/>
      <c r="AZ35" s="125">
        <v>2.2400000000000002</v>
      </c>
      <c r="BA35" s="125">
        <v>32.86</v>
      </c>
      <c r="BB35" s="127"/>
      <c r="BC35" s="127"/>
      <c r="BD35" s="127"/>
      <c r="BE35" s="127"/>
      <c r="BF35" s="127"/>
      <c r="BG35" s="127"/>
      <c r="BH35" s="127"/>
      <c r="BI35" s="125">
        <v>175.8</v>
      </c>
      <c r="BJ35" s="125">
        <v>152.66999999999999</v>
      </c>
      <c r="BK35" s="127"/>
      <c r="BL35" s="127"/>
      <c r="BM35" s="127"/>
      <c r="BN35" s="127"/>
      <c r="BO35" s="127"/>
      <c r="BP35" s="127"/>
      <c r="BQ35" s="127"/>
      <c r="BR35" s="125">
        <v>2567.91</v>
      </c>
      <c r="BS35" s="125">
        <v>2067.3200000000002</v>
      </c>
      <c r="BT35" s="127"/>
      <c r="BU35" s="127"/>
      <c r="BV35" s="127"/>
      <c r="BW35" s="127"/>
      <c r="BX35" s="127"/>
      <c r="BY35" s="127"/>
      <c r="BZ35" s="127"/>
      <c r="CA35" s="9">
        <v>39</v>
      </c>
      <c r="CB35" s="7">
        <v>42482</v>
      </c>
      <c r="CC35" s="9">
        <f t="shared" si="23"/>
        <v>-16</v>
      </c>
      <c r="CD35" s="9">
        <v>34</v>
      </c>
      <c r="CE35" s="137">
        <v>42957</v>
      </c>
      <c r="CF35" s="128">
        <f t="shared" si="24"/>
        <v>2</v>
      </c>
      <c r="CG35" s="128">
        <f t="shared" si="20"/>
        <v>5</v>
      </c>
      <c r="CH35" s="39">
        <v>34</v>
      </c>
      <c r="CI35" s="40">
        <v>42957</v>
      </c>
      <c r="CJ35" s="18">
        <v>0</v>
      </c>
      <c r="CK35" s="39">
        <v>33</v>
      </c>
      <c r="CL35" s="40">
        <v>43021</v>
      </c>
      <c r="CM35" s="21">
        <v>2</v>
      </c>
      <c r="CN35" s="41">
        <v>33</v>
      </c>
      <c r="CO35" s="42">
        <v>43104</v>
      </c>
      <c r="CP35" s="23">
        <v>5</v>
      </c>
      <c r="CQ35" s="39">
        <v>29</v>
      </c>
      <c r="CR35" s="46">
        <v>43283</v>
      </c>
      <c r="CS35" s="24">
        <v>11</v>
      </c>
      <c r="CT35" s="39"/>
      <c r="CU35" s="46"/>
      <c r="CV35" s="29"/>
      <c r="CW35" s="9"/>
      <c r="CX35" s="7"/>
      <c r="CY35" s="9"/>
      <c r="CZ35" s="127">
        <f t="shared" si="25"/>
        <v>0.3783783783783784</v>
      </c>
      <c r="DA35" s="127">
        <f t="shared" si="26"/>
        <v>0.3783783783783784</v>
      </c>
      <c r="DB35" s="127">
        <f t="shared" si="27"/>
        <v>0.3125</v>
      </c>
      <c r="DC35" s="127">
        <f t="shared" si="21"/>
        <v>0.2</v>
      </c>
      <c r="DD35" s="127">
        <f t="shared" si="28"/>
        <v>0.45454545454545453</v>
      </c>
      <c r="DE35" s="9">
        <f t="shared" si="29"/>
        <v>11</v>
      </c>
      <c r="DF35" s="127">
        <f t="shared" si="30"/>
        <v>0.38461538461538464</v>
      </c>
      <c r="DG35" s="9">
        <f t="shared" si="31"/>
        <v>26</v>
      </c>
      <c r="DH35" s="129">
        <f t="shared" si="32"/>
        <v>0.14204545454545453</v>
      </c>
      <c r="DI35" s="144">
        <f t="shared" si="22"/>
        <v>-0.11249999999999999</v>
      </c>
      <c r="DJ35" s="129">
        <f t="shared" si="33"/>
        <v>6.2370062370062374E-3</v>
      </c>
      <c r="DK35" s="9"/>
      <c r="DL35" s="7"/>
      <c r="DM35" s="9"/>
      <c r="DN35" s="7"/>
      <c r="DO35" s="9">
        <f t="shared" si="34"/>
        <v>22</v>
      </c>
      <c r="DP35" s="114">
        <f t="shared" si="35"/>
        <v>37</v>
      </c>
      <c r="DQ35" s="114">
        <f t="shared" si="36"/>
        <v>16</v>
      </c>
      <c r="DR35" s="131">
        <v>1</v>
      </c>
      <c r="DS35" s="145"/>
      <c r="DT35" s="145"/>
      <c r="DU35" s="145"/>
      <c r="DV35" s="145"/>
      <c r="DW35" s="145"/>
      <c r="DX35" s="145"/>
      <c r="DY35" s="145"/>
      <c r="DZ35" s="145"/>
      <c r="EA35" s="145"/>
      <c r="EB35" s="145"/>
      <c r="EC35" s="145"/>
      <c r="ED35" s="145"/>
      <c r="EE35" s="145"/>
      <c r="EF35" s="136"/>
    </row>
    <row r="36" spans="1:136">
      <c r="A36" s="112">
        <v>1698</v>
      </c>
      <c r="B36" s="142" t="s">
        <v>26</v>
      </c>
      <c r="C36" s="146">
        <v>1274069</v>
      </c>
      <c r="D36" s="115" t="s">
        <v>347</v>
      </c>
      <c r="E36" s="111">
        <v>114</v>
      </c>
      <c r="F36" s="112" t="s">
        <v>318</v>
      </c>
      <c r="G36" s="112"/>
      <c r="H36" s="112" t="s">
        <v>319</v>
      </c>
      <c r="I36" s="112"/>
      <c r="J36" s="113">
        <v>42380</v>
      </c>
      <c r="K36" s="114">
        <v>42</v>
      </c>
      <c r="L36" s="112">
        <v>9</v>
      </c>
      <c r="M36" s="113">
        <v>42005</v>
      </c>
      <c r="N36" s="112">
        <v>2</v>
      </c>
      <c r="O36" s="137">
        <v>42663</v>
      </c>
      <c r="P36" s="116">
        <v>42689</v>
      </c>
      <c r="Q36" s="179"/>
      <c r="R36" s="112"/>
      <c r="S36" s="112"/>
      <c r="T36" s="112"/>
      <c r="U36" s="112"/>
      <c r="V36" s="112"/>
      <c r="W36" s="112"/>
      <c r="X36" s="112"/>
      <c r="Y36" s="140" t="s">
        <v>111</v>
      </c>
      <c r="Z36" s="140" t="s">
        <v>112</v>
      </c>
      <c r="AA36" s="7"/>
      <c r="AB36" s="7"/>
      <c r="AC36" s="7"/>
      <c r="AD36" s="7"/>
      <c r="AE36" s="7"/>
      <c r="AF36" s="7"/>
      <c r="AG36" s="7"/>
      <c r="AH36" s="121">
        <v>1</v>
      </c>
      <c r="AI36" s="124"/>
      <c r="AJ36" s="124"/>
      <c r="AK36" s="124"/>
      <c r="AL36" s="124"/>
      <c r="AM36" s="124"/>
      <c r="AN36" s="124"/>
      <c r="AO36" s="124"/>
      <c r="AP36" s="124"/>
      <c r="AQ36" s="125">
        <v>867.30000000000007</v>
      </c>
      <c r="AR36" s="125">
        <v>1490.1599999999999</v>
      </c>
      <c r="AS36" s="126"/>
      <c r="AT36" s="126"/>
      <c r="AU36" s="127"/>
      <c r="AV36" s="127"/>
      <c r="AW36" s="127"/>
      <c r="AX36" s="127"/>
      <c r="AY36" s="127"/>
      <c r="AZ36" s="125">
        <v>1.18</v>
      </c>
      <c r="BA36" s="125">
        <v>1.63</v>
      </c>
      <c r="BB36" s="127"/>
      <c r="BC36" s="127"/>
      <c r="BD36" s="127"/>
      <c r="BE36" s="127"/>
      <c r="BF36" s="127"/>
      <c r="BG36" s="127"/>
      <c r="BH36" s="127"/>
      <c r="BI36" s="125">
        <v>34.53</v>
      </c>
      <c r="BJ36" s="125">
        <v>59.8</v>
      </c>
      <c r="BK36" s="127"/>
      <c r="BL36" s="127"/>
      <c r="BM36" s="127"/>
      <c r="BN36" s="127"/>
      <c r="BO36" s="127"/>
      <c r="BP36" s="127"/>
      <c r="BQ36" s="127"/>
      <c r="BR36" s="125">
        <v>848.94</v>
      </c>
      <c r="BS36" s="125">
        <v>819.08</v>
      </c>
      <c r="BT36" s="127"/>
      <c r="BU36" s="127"/>
      <c r="BV36" s="127"/>
      <c r="BW36" s="127"/>
      <c r="BX36" s="127"/>
      <c r="BY36" s="127"/>
      <c r="BZ36" s="127"/>
      <c r="CA36" s="9">
        <v>42</v>
      </c>
      <c r="CB36" s="7">
        <v>42380</v>
      </c>
      <c r="CC36" s="9">
        <f t="shared" si="23"/>
        <v>-9</v>
      </c>
      <c r="CD36" s="9">
        <v>39</v>
      </c>
      <c r="CE36" s="137">
        <v>42663</v>
      </c>
      <c r="CF36" s="128">
        <f t="shared" si="24"/>
        <v>4</v>
      </c>
      <c r="CG36" s="128">
        <f t="shared" si="20"/>
        <v>6</v>
      </c>
      <c r="CH36" s="39">
        <v>39</v>
      </c>
      <c r="CI36" s="40">
        <v>42663</v>
      </c>
      <c r="CJ36" s="18">
        <v>0</v>
      </c>
      <c r="CK36" s="39">
        <v>37</v>
      </c>
      <c r="CL36" s="40">
        <v>42779</v>
      </c>
      <c r="CM36" s="21">
        <v>4</v>
      </c>
      <c r="CN36" s="41">
        <v>37</v>
      </c>
      <c r="CO36" s="42">
        <v>42842</v>
      </c>
      <c r="CP36" s="23">
        <v>6</v>
      </c>
      <c r="CQ36" s="39">
        <v>30</v>
      </c>
      <c r="CR36" s="46">
        <v>43063</v>
      </c>
      <c r="CS36" s="29">
        <v>13</v>
      </c>
      <c r="CT36" s="59">
        <v>25</v>
      </c>
      <c r="CU36" s="60">
        <v>43385</v>
      </c>
      <c r="CV36" s="29">
        <v>24</v>
      </c>
      <c r="CW36" s="12">
        <v>23</v>
      </c>
      <c r="CX36" s="11">
        <v>43700</v>
      </c>
      <c r="CY36" s="12">
        <v>34</v>
      </c>
      <c r="CZ36" s="127">
        <f t="shared" si="25"/>
        <v>0.40909090909090912</v>
      </c>
      <c r="DA36" s="127">
        <f t="shared" si="26"/>
        <v>0.40909090909090912</v>
      </c>
      <c r="DB36" s="127">
        <f t="shared" si="27"/>
        <v>0.33333333333333331</v>
      </c>
      <c r="DC36" s="127">
        <f t="shared" si="21"/>
        <v>0.33333333333333331</v>
      </c>
      <c r="DD36" s="127">
        <f t="shared" si="28"/>
        <v>0.47058823529411764</v>
      </c>
      <c r="DE36" s="9">
        <f t="shared" si="29"/>
        <v>34</v>
      </c>
      <c r="DF36" s="127">
        <f t="shared" si="30"/>
        <v>0.44186046511627908</v>
      </c>
      <c r="DG36" s="9">
        <f t="shared" si="31"/>
        <v>43</v>
      </c>
      <c r="DH36" s="129">
        <f t="shared" si="32"/>
        <v>0.13725490196078433</v>
      </c>
      <c r="DI36" s="144">
        <f t="shared" si="22"/>
        <v>0</v>
      </c>
      <c r="DJ36" s="129">
        <f t="shared" si="33"/>
        <v>3.2769556025369961E-2</v>
      </c>
      <c r="DK36" s="9"/>
      <c r="DL36" s="7"/>
      <c r="DM36" s="9"/>
      <c r="DN36" s="7"/>
      <c r="DO36" s="9">
        <f t="shared" si="34"/>
        <v>12</v>
      </c>
      <c r="DP36" s="114">
        <f t="shared" si="35"/>
        <v>22</v>
      </c>
      <c r="DQ36" s="114">
        <f t="shared" si="36"/>
        <v>9</v>
      </c>
      <c r="DR36" s="131">
        <v>1</v>
      </c>
      <c r="DS36" s="145"/>
      <c r="DT36" s="145"/>
      <c r="DU36" s="145"/>
      <c r="DV36" s="145"/>
      <c r="DW36" s="145"/>
      <c r="DX36" s="145"/>
      <c r="DY36" s="145"/>
      <c r="DZ36" s="145"/>
      <c r="EA36" s="145"/>
      <c r="EB36" s="145"/>
      <c r="EC36" s="145"/>
      <c r="ED36" s="145"/>
      <c r="EE36" s="145"/>
      <c r="EF36" s="136"/>
    </row>
    <row r="37" spans="1:136">
      <c r="A37" s="112">
        <v>2258</v>
      </c>
      <c r="B37" s="142" t="s">
        <v>27</v>
      </c>
      <c r="C37" s="146">
        <v>2715103</v>
      </c>
      <c r="D37" s="115" t="s">
        <v>348</v>
      </c>
      <c r="E37" s="148">
        <v>199</v>
      </c>
      <c r="F37" s="112" t="s">
        <v>318</v>
      </c>
      <c r="G37" s="112"/>
      <c r="H37" s="112"/>
      <c r="I37" s="112"/>
      <c r="J37" s="113">
        <v>43238</v>
      </c>
      <c r="K37" s="114">
        <v>41</v>
      </c>
      <c r="L37" s="112">
        <v>7</v>
      </c>
      <c r="M37" s="113">
        <v>43070</v>
      </c>
      <c r="N37" s="112">
        <v>2</v>
      </c>
      <c r="O37" s="137">
        <v>43482</v>
      </c>
      <c r="P37" s="5">
        <v>43508</v>
      </c>
      <c r="Q37" s="179"/>
      <c r="R37" s="112"/>
      <c r="S37" s="112"/>
      <c r="T37" s="112"/>
      <c r="U37" s="112"/>
      <c r="V37" s="112"/>
      <c r="W37" s="112"/>
      <c r="X37" s="112"/>
      <c r="Y37" s="140">
        <v>43482</v>
      </c>
      <c r="Z37" s="140">
        <v>43508</v>
      </c>
      <c r="AA37" s="7"/>
      <c r="AB37" s="7"/>
      <c r="AC37" s="7"/>
      <c r="AD37" s="7"/>
      <c r="AE37" s="7"/>
      <c r="AF37" s="7"/>
      <c r="AG37" s="7"/>
      <c r="AH37" s="121">
        <v>1</v>
      </c>
      <c r="AI37" s="124"/>
      <c r="AJ37" s="124"/>
      <c r="AK37" s="124"/>
      <c r="AL37" s="124"/>
      <c r="AM37" s="124"/>
      <c r="AN37" s="124"/>
      <c r="AO37" s="124"/>
      <c r="AP37" s="124"/>
      <c r="AQ37" s="125">
        <v>849.80000000000007</v>
      </c>
      <c r="AR37" s="125">
        <v>3463.6000000000004</v>
      </c>
      <c r="AS37" s="126"/>
      <c r="AT37" s="126"/>
      <c r="AU37" s="127"/>
      <c r="AV37" s="127"/>
      <c r="AW37" s="127"/>
      <c r="AX37" s="127"/>
      <c r="AY37" s="127"/>
      <c r="AZ37" s="125">
        <v>0.35000000000000003</v>
      </c>
      <c r="BA37" s="125">
        <v>3.0750000000000002</v>
      </c>
      <c r="BB37" s="127"/>
      <c r="BC37" s="127"/>
      <c r="BD37" s="127"/>
      <c r="BE37" s="127"/>
      <c r="BF37" s="127"/>
      <c r="BG37" s="127"/>
      <c r="BH37" s="127"/>
      <c r="BI37" s="125">
        <v>61.61</v>
      </c>
      <c r="BJ37" s="125">
        <v>70.900000000000006</v>
      </c>
      <c r="BK37" s="127"/>
      <c r="BL37" s="127"/>
      <c r="BM37" s="127"/>
      <c r="BN37" s="127"/>
      <c r="BO37" s="127"/>
      <c r="BP37" s="127"/>
      <c r="BQ37" s="127"/>
      <c r="BR37" s="125">
        <v>862.79</v>
      </c>
      <c r="BS37" s="125">
        <v>354.93</v>
      </c>
      <c r="BT37" s="127"/>
      <c r="BU37" s="127"/>
      <c r="BV37" s="127"/>
      <c r="BW37" s="127"/>
      <c r="BX37" s="127"/>
      <c r="BY37" s="127"/>
      <c r="BZ37" s="127"/>
      <c r="CA37" s="9">
        <v>41</v>
      </c>
      <c r="CB37" s="7">
        <v>43238</v>
      </c>
      <c r="CC37" s="9">
        <f t="shared" si="23"/>
        <v>-8</v>
      </c>
      <c r="CD37" s="9">
        <v>39</v>
      </c>
      <c r="CE37" s="137">
        <v>43482</v>
      </c>
      <c r="CF37" s="128">
        <f t="shared" si="24"/>
        <v>4</v>
      </c>
      <c r="CG37" s="128">
        <f t="shared" si="20"/>
        <v>7</v>
      </c>
      <c r="CH37" s="39">
        <v>39</v>
      </c>
      <c r="CI37" s="40">
        <v>43482</v>
      </c>
      <c r="CJ37" s="18">
        <v>0</v>
      </c>
      <c r="CK37" s="39">
        <v>39</v>
      </c>
      <c r="CL37" s="40">
        <v>43598</v>
      </c>
      <c r="CM37" s="21">
        <v>4</v>
      </c>
      <c r="CN37" s="41">
        <v>37</v>
      </c>
      <c r="CO37" s="42">
        <v>43682</v>
      </c>
      <c r="CP37" s="23">
        <v>7</v>
      </c>
      <c r="CQ37" s="39">
        <v>33</v>
      </c>
      <c r="CR37" s="46">
        <v>43773</v>
      </c>
      <c r="CS37" s="24">
        <v>10</v>
      </c>
      <c r="CT37" s="59"/>
      <c r="CU37" s="60"/>
      <c r="CV37" s="29"/>
      <c r="CW37" s="12"/>
      <c r="CX37" s="11"/>
      <c r="CY37" s="12"/>
      <c r="CZ37" s="127">
        <f t="shared" si="25"/>
        <v>0.6428571428571429</v>
      </c>
      <c r="DA37" s="127">
        <f t="shared" si="26"/>
        <v>0.6428571428571429</v>
      </c>
      <c r="DB37" s="127">
        <f t="shared" si="27"/>
        <v>0.25</v>
      </c>
      <c r="DC37" s="127">
        <f t="shared" si="21"/>
        <v>0.2857142857142857</v>
      </c>
      <c r="DD37" s="127">
        <f t="shared" si="28"/>
        <v>0.6</v>
      </c>
      <c r="DE37" s="9">
        <f t="shared" si="29"/>
        <v>10</v>
      </c>
      <c r="DF37" s="127">
        <f t="shared" si="30"/>
        <v>0.44444444444444442</v>
      </c>
      <c r="DG37" s="9">
        <f t="shared" si="31"/>
        <v>18</v>
      </c>
      <c r="DH37" s="129">
        <f t="shared" si="32"/>
        <v>0.35</v>
      </c>
      <c r="DI37" s="144">
        <f t="shared" si="22"/>
        <v>3.5714285714285698E-2</v>
      </c>
      <c r="DJ37" s="129">
        <f t="shared" si="33"/>
        <v>-0.19841269841269848</v>
      </c>
      <c r="DK37" s="9"/>
      <c r="DL37" s="7"/>
      <c r="DM37" s="9"/>
      <c r="DN37" s="7"/>
      <c r="DO37" s="9">
        <f t="shared" si="34"/>
        <v>6</v>
      </c>
      <c r="DP37" s="114">
        <f t="shared" si="35"/>
        <v>14</v>
      </c>
      <c r="DQ37" s="114">
        <f t="shared" si="36"/>
        <v>8</v>
      </c>
      <c r="DR37" s="131">
        <v>1</v>
      </c>
      <c r="DS37" s="145"/>
      <c r="DT37" s="145"/>
      <c r="DU37" s="145"/>
      <c r="DV37" s="145"/>
      <c r="DW37" s="145"/>
      <c r="DX37" s="145"/>
      <c r="DY37" s="145"/>
      <c r="DZ37" s="145"/>
      <c r="EA37" s="145"/>
      <c r="EB37" s="145"/>
      <c r="EC37" s="145"/>
      <c r="ED37" s="145"/>
      <c r="EE37" s="145"/>
      <c r="EF37" s="136"/>
    </row>
    <row r="38" spans="1:136">
      <c r="A38" s="112">
        <v>1441</v>
      </c>
      <c r="B38" s="153" t="s">
        <v>28</v>
      </c>
      <c r="C38" s="146">
        <v>2568806</v>
      </c>
      <c r="D38" s="112" t="s">
        <v>349</v>
      </c>
      <c r="E38" s="111">
        <v>76</v>
      </c>
      <c r="F38" s="112" t="s">
        <v>318</v>
      </c>
      <c r="G38" s="112"/>
      <c r="H38" s="112" t="s">
        <v>319</v>
      </c>
      <c r="I38" s="112"/>
      <c r="J38" s="113">
        <v>42034</v>
      </c>
      <c r="K38" s="114">
        <v>42</v>
      </c>
      <c r="L38" s="112">
        <v>6</v>
      </c>
      <c r="M38" s="113">
        <v>40878</v>
      </c>
      <c r="N38" s="112">
        <v>2</v>
      </c>
      <c r="O38" s="137">
        <v>42244</v>
      </c>
      <c r="P38" s="5">
        <v>42270</v>
      </c>
      <c r="Q38" s="179"/>
      <c r="R38" s="112"/>
      <c r="S38" s="112"/>
      <c r="T38" s="112"/>
      <c r="U38" s="112"/>
      <c r="V38" s="112"/>
      <c r="W38" s="112"/>
      <c r="X38" s="112"/>
      <c r="Y38" s="140" t="s">
        <v>113</v>
      </c>
      <c r="Z38" s="140" t="s">
        <v>114</v>
      </c>
      <c r="AA38" s="7"/>
      <c r="AB38" s="7"/>
      <c r="AC38" s="7"/>
      <c r="AD38" s="7"/>
      <c r="AE38" s="7"/>
      <c r="AF38" s="7"/>
      <c r="AG38" s="7"/>
      <c r="AH38" s="121">
        <v>1</v>
      </c>
      <c r="AI38" s="124"/>
      <c r="AJ38" s="121"/>
      <c r="AK38" s="124"/>
      <c r="AL38" s="124"/>
      <c r="AM38" s="124"/>
      <c r="AN38" s="121"/>
      <c r="AO38" s="121"/>
      <c r="AP38" s="121"/>
      <c r="AQ38" s="125">
        <v>1305.1499999999999</v>
      </c>
      <c r="AR38" s="125">
        <v>2025.68</v>
      </c>
      <c r="AS38" s="126"/>
      <c r="AT38" s="126"/>
      <c r="AU38" s="127"/>
      <c r="AV38" s="127"/>
      <c r="AW38" s="127"/>
      <c r="AX38" s="127"/>
      <c r="AY38" s="127"/>
      <c r="AZ38" s="125">
        <v>1.93</v>
      </c>
      <c r="BA38" s="125">
        <v>1.93</v>
      </c>
      <c r="BB38" s="127"/>
      <c r="BC38" s="127"/>
      <c r="BD38" s="127"/>
      <c r="BE38" s="127"/>
      <c r="BF38" s="127"/>
      <c r="BG38" s="127"/>
      <c r="BH38" s="127"/>
      <c r="BI38" s="125">
        <v>47.92</v>
      </c>
      <c r="BJ38" s="125">
        <v>55.47</v>
      </c>
      <c r="BK38" s="127"/>
      <c r="BL38" s="127"/>
      <c r="BM38" s="127"/>
      <c r="BN38" s="127"/>
      <c r="BO38" s="127"/>
      <c r="BP38" s="127"/>
      <c r="BQ38" s="127"/>
      <c r="BR38" s="125">
        <v>1011.93</v>
      </c>
      <c r="BS38" s="125">
        <v>370.56</v>
      </c>
      <c r="BT38" s="127"/>
      <c r="BU38" s="127"/>
      <c r="BV38" s="127"/>
      <c r="BW38" s="127"/>
      <c r="BX38" s="127"/>
      <c r="BY38" s="127"/>
      <c r="BZ38" s="127"/>
      <c r="CA38" s="9">
        <v>42</v>
      </c>
      <c r="CB38" s="7">
        <v>42034</v>
      </c>
      <c r="CC38" s="9">
        <f t="shared" si="23"/>
        <v>-7</v>
      </c>
      <c r="CD38" s="9">
        <v>39</v>
      </c>
      <c r="CE38" s="137">
        <v>42244</v>
      </c>
      <c r="CF38" s="128">
        <f t="shared" si="24"/>
        <v>4</v>
      </c>
      <c r="CG38" s="128">
        <f t="shared" si="20"/>
        <v>6</v>
      </c>
      <c r="CH38" s="39">
        <v>39</v>
      </c>
      <c r="CI38" s="40">
        <v>42244</v>
      </c>
      <c r="CJ38" s="18">
        <v>0</v>
      </c>
      <c r="CK38" s="39">
        <v>38</v>
      </c>
      <c r="CL38" s="40">
        <v>42359</v>
      </c>
      <c r="CM38" s="21">
        <v>4</v>
      </c>
      <c r="CN38" s="41">
        <v>36</v>
      </c>
      <c r="CO38" s="42">
        <v>42415</v>
      </c>
      <c r="CP38" s="23">
        <v>6</v>
      </c>
      <c r="CQ38" s="39">
        <v>32</v>
      </c>
      <c r="CR38" s="46">
        <v>42590</v>
      </c>
      <c r="CS38" s="24">
        <v>11</v>
      </c>
      <c r="CT38" s="59">
        <v>32</v>
      </c>
      <c r="CU38" s="60">
        <v>42947</v>
      </c>
      <c r="CV38" s="29">
        <v>23</v>
      </c>
      <c r="CW38" s="12">
        <v>20</v>
      </c>
      <c r="CX38" s="11">
        <v>43287</v>
      </c>
      <c r="CY38" s="12">
        <v>34</v>
      </c>
      <c r="CZ38" s="127">
        <f t="shared" si="25"/>
        <v>0.2</v>
      </c>
      <c r="DA38" s="127">
        <f t="shared" si="26"/>
        <v>0.2</v>
      </c>
      <c r="DB38" s="127">
        <f t="shared" si="27"/>
        <v>0.42857142857142855</v>
      </c>
      <c r="DC38" s="127">
        <f t="shared" si="21"/>
        <v>0.5</v>
      </c>
      <c r="DD38" s="127">
        <f t="shared" si="28"/>
        <v>0.55882352941176472</v>
      </c>
      <c r="DE38" s="9">
        <f t="shared" si="29"/>
        <v>34</v>
      </c>
      <c r="DF38" s="127">
        <f t="shared" si="30"/>
        <v>0.53658536585365857</v>
      </c>
      <c r="DG38" s="9">
        <f t="shared" si="31"/>
        <v>41</v>
      </c>
      <c r="DH38" s="129">
        <f t="shared" si="32"/>
        <v>0.13025210084033617</v>
      </c>
      <c r="DI38" s="144">
        <f t="shared" si="22"/>
        <v>7.1428571428571452E-2</v>
      </c>
      <c r="DJ38" s="129">
        <f t="shared" si="33"/>
        <v>0.33658536585365856</v>
      </c>
      <c r="DK38" s="9"/>
      <c r="DL38" s="7"/>
      <c r="DM38" s="9"/>
      <c r="DN38" s="7"/>
      <c r="DO38" s="9">
        <f t="shared" si="34"/>
        <v>38</v>
      </c>
      <c r="DP38" s="114">
        <f t="shared" si="35"/>
        <v>45</v>
      </c>
      <c r="DQ38" s="114">
        <f t="shared" si="36"/>
        <v>7</v>
      </c>
      <c r="DR38" s="131">
        <v>1</v>
      </c>
      <c r="DS38" s="145"/>
      <c r="DT38" s="145"/>
      <c r="DU38" s="145"/>
      <c r="DV38" s="145"/>
      <c r="DW38" s="145"/>
      <c r="DX38" s="145"/>
      <c r="DY38" s="145"/>
      <c r="DZ38" s="145"/>
      <c r="EA38" s="145"/>
      <c r="EB38" s="145"/>
      <c r="EC38" s="145"/>
      <c r="ED38" s="145"/>
      <c r="EE38" s="145"/>
      <c r="EF38" s="156"/>
    </row>
    <row r="39" spans="1:136">
      <c r="A39" s="112">
        <v>1544</v>
      </c>
      <c r="B39" s="153" t="s">
        <v>29</v>
      </c>
      <c r="C39" s="146">
        <v>2587736</v>
      </c>
      <c r="D39" s="112" t="s">
        <v>350</v>
      </c>
      <c r="E39" s="111">
        <v>89</v>
      </c>
      <c r="F39" s="112" t="s">
        <v>318</v>
      </c>
      <c r="G39" s="112"/>
      <c r="H39" s="112" t="s">
        <v>319</v>
      </c>
      <c r="I39" s="112"/>
      <c r="J39" s="113">
        <v>42177</v>
      </c>
      <c r="K39" s="114">
        <v>45</v>
      </c>
      <c r="L39" s="112">
        <v>5</v>
      </c>
      <c r="M39" s="113">
        <v>42036</v>
      </c>
      <c r="N39" s="112">
        <v>2</v>
      </c>
      <c r="O39" s="137">
        <v>42334</v>
      </c>
      <c r="P39" s="5">
        <v>42360</v>
      </c>
      <c r="Q39" s="179"/>
      <c r="R39" s="112"/>
      <c r="S39" s="112"/>
      <c r="T39" s="112"/>
      <c r="U39" s="112"/>
      <c r="V39" s="112"/>
      <c r="W39" s="112"/>
      <c r="X39" s="112"/>
      <c r="Y39" s="140" t="s">
        <v>115</v>
      </c>
      <c r="Z39" s="140" t="s">
        <v>116</v>
      </c>
      <c r="AA39" s="7"/>
      <c r="AB39" s="7"/>
      <c r="AC39" s="7"/>
      <c r="AD39" s="7"/>
      <c r="AE39" s="7"/>
      <c r="AF39" s="7"/>
      <c r="AG39" s="7"/>
      <c r="AH39" s="121">
        <v>1</v>
      </c>
      <c r="AI39" s="124"/>
      <c r="AJ39" s="124"/>
      <c r="AK39" s="124"/>
      <c r="AL39" s="124"/>
      <c r="AM39" s="124"/>
      <c r="AN39" s="124"/>
      <c r="AO39" s="124"/>
      <c r="AP39" s="124"/>
      <c r="AQ39" s="125">
        <v>700.91</v>
      </c>
      <c r="AR39" s="125">
        <v>1280.3</v>
      </c>
      <c r="AS39" s="126"/>
      <c r="AT39" s="126"/>
      <c r="AU39" s="127"/>
      <c r="AV39" s="127"/>
      <c r="AW39" s="127"/>
      <c r="AX39" s="127"/>
      <c r="AY39" s="127"/>
      <c r="AZ39" s="125">
        <v>1.03</v>
      </c>
      <c r="BA39" s="125">
        <v>1.48</v>
      </c>
      <c r="BB39" s="127"/>
      <c r="BC39" s="127"/>
      <c r="BD39" s="127"/>
      <c r="BE39" s="127"/>
      <c r="BF39" s="127"/>
      <c r="BG39" s="127"/>
      <c r="BH39" s="127"/>
      <c r="BI39" s="125">
        <v>28.22</v>
      </c>
      <c r="BJ39" s="125">
        <v>39.42</v>
      </c>
      <c r="BK39" s="127"/>
      <c r="BL39" s="127"/>
      <c r="BM39" s="127"/>
      <c r="BN39" s="127"/>
      <c r="BO39" s="127"/>
      <c r="BP39" s="127"/>
      <c r="BQ39" s="127"/>
      <c r="BR39" s="125">
        <v>488.32</v>
      </c>
      <c r="BS39" s="125">
        <v>108.93</v>
      </c>
      <c r="BT39" s="127"/>
      <c r="BU39" s="127"/>
      <c r="BV39" s="127"/>
      <c r="BW39" s="127"/>
      <c r="BX39" s="127"/>
      <c r="BY39" s="127"/>
      <c r="BZ39" s="127"/>
      <c r="CA39" s="9">
        <v>45</v>
      </c>
      <c r="CB39" s="7">
        <v>42177</v>
      </c>
      <c r="CC39" s="9">
        <f t="shared" si="23"/>
        <v>-5</v>
      </c>
      <c r="CD39" s="9">
        <v>45</v>
      </c>
      <c r="CE39" s="137">
        <v>42334</v>
      </c>
      <c r="CF39" s="128">
        <f t="shared" si="24"/>
        <v>3</v>
      </c>
      <c r="CG39" s="128">
        <f t="shared" si="20"/>
        <v>12</v>
      </c>
      <c r="CH39" s="39">
        <v>45</v>
      </c>
      <c r="CI39" s="40">
        <v>42334</v>
      </c>
      <c r="CJ39" s="18">
        <v>0</v>
      </c>
      <c r="CK39" s="39">
        <v>44</v>
      </c>
      <c r="CL39" s="40">
        <v>42438</v>
      </c>
      <c r="CM39" s="21">
        <v>3</v>
      </c>
      <c r="CN39" s="39">
        <v>44</v>
      </c>
      <c r="CO39" s="46">
        <v>42711</v>
      </c>
      <c r="CP39" s="24">
        <v>12</v>
      </c>
      <c r="CQ39" s="39">
        <v>19</v>
      </c>
      <c r="CR39" s="46">
        <v>43474</v>
      </c>
      <c r="CS39" s="24">
        <v>37</v>
      </c>
      <c r="CT39" s="9"/>
      <c r="CU39" s="7"/>
      <c r="CV39" s="9"/>
      <c r="CW39" s="61"/>
      <c r="CX39" s="61"/>
      <c r="CY39" s="62"/>
      <c r="CZ39" s="127">
        <f t="shared" si="25"/>
        <v>0.3</v>
      </c>
      <c r="DA39" s="127">
        <f t="shared" si="26"/>
        <v>0.3</v>
      </c>
      <c r="DB39" s="127">
        <f t="shared" si="27"/>
        <v>0</v>
      </c>
      <c r="DC39" s="127">
        <f t="shared" si="21"/>
        <v>8.3333333333333329E-2</v>
      </c>
      <c r="DD39" s="127">
        <f t="shared" si="28"/>
        <v>0.70270270270270274</v>
      </c>
      <c r="DE39" s="9">
        <f t="shared" si="29"/>
        <v>37</v>
      </c>
      <c r="DF39" s="127">
        <f t="shared" si="30"/>
        <v>0.60465116279069764</v>
      </c>
      <c r="DG39" s="9">
        <f t="shared" si="31"/>
        <v>43</v>
      </c>
      <c r="DH39" s="129">
        <f t="shared" si="32"/>
        <v>0.70270270270270274</v>
      </c>
      <c r="DI39" s="144">
        <f t="shared" si="22"/>
        <v>8.3333333333333329E-2</v>
      </c>
      <c r="DJ39" s="129">
        <f t="shared" si="33"/>
        <v>0.30465116279069765</v>
      </c>
      <c r="DK39" s="9"/>
      <c r="DL39" s="7"/>
      <c r="DM39" s="9"/>
      <c r="DN39" s="7"/>
      <c r="DO39" s="9">
        <f t="shared" si="34"/>
        <v>5</v>
      </c>
      <c r="DP39" s="114">
        <f t="shared" si="35"/>
        <v>10</v>
      </c>
      <c r="DQ39" s="114">
        <f t="shared" si="36"/>
        <v>5</v>
      </c>
      <c r="DR39" s="131">
        <v>1</v>
      </c>
      <c r="DS39" s="145"/>
      <c r="DT39" s="145"/>
      <c r="DU39" s="145"/>
      <c r="DV39" s="145"/>
      <c r="DW39" s="145"/>
      <c r="DX39" s="145"/>
      <c r="DY39" s="145"/>
      <c r="DZ39" s="145"/>
      <c r="EA39" s="145"/>
      <c r="EB39" s="145"/>
      <c r="EC39" s="145"/>
      <c r="ED39" s="145"/>
      <c r="EE39" s="145"/>
      <c r="EF39" s="136"/>
    </row>
    <row r="40" spans="1:136">
      <c r="A40" s="112">
        <v>1252</v>
      </c>
      <c r="B40" s="153" t="s">
        <v>30</v>
      </c>
      <c r="C40" s="146">
        <v>2543565</v>
      </c>
      <c r="D40" s="112" t="s">
        <v>351</v>
      </c>
      <c r="E40" s="111">
        <v>14</v>
      </c>
      <c r="F40" s="112" t="s">
        <v>318</v>
      </c>
      <c r="G40" s="112"/>
      <c r="H40" s="112" t="s">
        <v>319</v>
      </c>
      <c r="I40" s="112"/>
      <c r="J40" s="113">
        <v>41837</v>
      </c>
      <c r="K40" s="114">
        <v>41</v>
      </c>
      <c r="L40" s="112">
        <v>8</v>
      </c>
      <c r="M40" s="113">
        <v>41365</v>
      </c>
      <c r="N40" s="112">
        <v>2</v>
      </c>
      <c r="O40" s="137">
        <v>42097</v>
      </c>
      <c r="P40" s="5">
        <v>42123</v>
      </c>
      <c r="Q40" s="179"/>
      <c r="R40" s="112"/>
      <c r="S40" s="112"/>
      <c r="T40" s="112"/>
      <c r="U40" s="112"/>
      <c r="V40" s="112"/>
      <c r="W40" s="112"/>
      <c r="X40" s="112"/>
      <c r="Y40" s="140" t="s">
        <v>117</v>
      </c>
      <c r="Z40" s="140" t="s">
        <v>118</v>
      </c>
      <c r="AA40" s="7"/>
      <c r="AB40" s="7"/>
      <c r="AC40" s="7"/>
      <c r="AD40" s="7"/>
      <c r="AE40" s="7"/>
      <c r="AF40" s="7"/>
      <c r="AG40" s="7"/>
      <c r="AH40" s="121">
        <v>1</v>
      </c>
      <c r="AI40" s="124"/>
      <c r="AJ40" s="124"/>
      <c r="AK40" s="124"/>
      <c r="AL40" s="124"/>
      <c r="AM40" s="124"/>
      <c r="AN40" s="124"/>
      <c r="AO40" s="124"/>
      <c r="AP40" s="124"/>
      <c r="AQ40" s="125">
        <v>701.59999999999991</v>
      </c>
      <c r="AR40" s="125">
        <v>1271.0999999999999</v>
      </c>
      <c r="AS40" s="126"/>
      <c r="AT40" s="126"/>
      <c r="AU40" s="127"/>
      <c r="AV40" s="127"/>
      <c r="AW40" s="127"/>
      <c r="AX40" s="127"/>
      <c r="AY40" s="127"/>
      <c r="AZ40" s="125">
        <v>2.31</v>
      </c>
      <c r="BA40" s="125">
        <v>2.46</v>
      </c>
      <c r="BB40" s="127"/>
      <c r="BC40" s="127"/>
      <c r="BD40" s="127"/>
      <c r="BE40" s="127"/>
      <c r="BF40" s="127"/>
      <c r="BG40" s="127"/>
      <c r="BH40" s="127"/>
      <c r="BI40" s="125">
        <v>52.51</v>
      </c>
      <c r="BJ40" s="125">
        <v>51.88</v>
      </c>
      <c r="BK40" s="127"/>
      <c r="BL40" s="127"/>
      <c r="BM40" s="127"/>
      <c r="BN40" s="127"/>
      <c r="BO40" s="127"/>
      <c r="BP40" s="127"/>
      <c r="BQ40" s="127"/>
      <c r="BR40" s="125">
        <v>936.85</v>
      </c>
      <c r="BS40" s="125">
        <v>1082.49</v>
      </c>
      <c r="BT40" s="127"/>
      <c r="BU40" s="127"/>
      <c r="BV40" s="127"/>
      <c r="BW40" s="127"/>
      <c r="BX40" s="127"/>
      <c r="BY40" s="127"/>
      <c r="BZ40" s="127"/>
      <c r="CA40" s="9">
        <v>41</v>
      </c>
      <c r="CB40" s="7">
        <v>41837</v>
      </c>
      <c r="CC40" s="9">
        <f t="shared" si="23"/>
        <v>-8</v>
      </c>
      <c r="CD40" s="9">
        <v>36</v>
      </c>
      <c r="CE40" s="137">
        <v>42097</v>
      </c>
      <c r="CF40" s="128">
        <f t="shared" si="24"/>
        <v>3</v>
      </c>
      <c r="CG40" s="128">
        <f t="shared" si="20"/>
        <v>7</v>
      </c>
      <c r="CH40" s="39">
        <v>36</v>
      </c>
      <c r="CI40" s="40">
        <v>42097</v>
      </c>
      <c r="CJ40" s="18">
        <v>0</v>
      </c>
      <c r="CK40" s="39">
        <v>33</v>
      </c>
      <c r="CL40" s="40">
        <v>42191</v>
      </c>
      <c r="CM40" s="21">
        <v>3</v>
      </c>
      <c r="CN40" s="41">
        <v>31</v>
      </c>
      <c r="CO40" s="42">
        <v>42296</v>
      </c>
      <c r="CP40" s="23">
        <v>7</v>
      </c>
      <c r="CQ40" s="39">
        <v>26</v>
      </c>
      <c r="CR40" s="46">
        <v>42478</v>
      </c>
      <c r="CS40" s="24">
        <v>13</v>
      </c>
      <c r="CT40" s="59">
        <v>22</v>
      </c>
      <c r="CU40" s="60">
        <v>42779</v>
      </c>
      <c r="CV40" s="29">
        <v>22</v>
      </c>
      <c r="CW40" s="12"/>
      <c r="CX40" s="11"/>
      <c r="CY40" s="12"/>
      <c r="CZ40" s="127">
        <f t="shared" si="25"/>
        <v>0.5</v>
      </c>
      <c r="DA40" s="127">
        <f t="shared" si="26"/>
        <v>0.5</v>
      </c>
      <c r="DB40" s="127">
        <f t="shared" si="27"/>
        <v>0.55555555555555558</v>
      </c>
      <c r="DC40" s="127">
        <f t="shared" si="21"/>
        <v>0.7142857142857143</v>
      </c>
      <c r="DD40" s="127">
        <f t="shared" si="28"/>
        <v>0.63636363636363635</v>
      </c>
      <c r="DE40" s="9">
        <f t="shared" si="29"/>
        <v>22</v>
      </c>
      <c r="DF40" s="127">
        <f t="shared" si="30"/>
        <v>0.61290322580645162</v>
      </c>
      <c r="DG40" s="9">
        <f t="shared" si="31"/>
        <v>31</v>
      </c>
      <c r="DH40" s="129">
        <f t="shared" si="32"/>
        <v>8.0808080808080773E-2</v>
      </c>
      <c r="DI40" s="144">
        <f t="shared" si="22"/>
        <v>0.15873015873015872</v>
      </c>
      <c r="DJ40" s="129">
        <f t="shared" si="33"/>
        <v>0.11290322580645162</v>
      </c>
      <c r="DK40" s="9"/>
      <c r="DL40" s="7"/>
      <c r="DM40" s="9"/>
      <c r="DN40" s="7"/>
      <c r="DO40" s="9">
        <f t="shared" si="34"/>
        <v>15</v>
      </c>
      <c r="DP40" s="114">
        <f t="shared" si="35"/>
        <v>24</v>
      </c>
      <c r="DQ40" s="114">
        <f t="shared" si="36"/>
        <v>9</v>
      </c>
      <c r="DR40" s="131">
        <v>1</v>
      </c>
      <c r="DS40" s="145"/>
      <c r="DT40" s="145"/>
      <c r="DU40" s="145"/>
      <c r="DV40" s="145"/>
      <c r="DW40" s="145"/>
      <c r="DX40" s="145"/>
      <c r="DY40" s="145"/>
      <c r="DZ40" s="145"/>
      <c r="EA40" s="145"/>
      <c r="EB40" s="145"/>
      <c r="EC40" s="145"/>
      <c r="ED40" s="145"/>
      <c r="EE40" s="145"/>
      <c r="EF40" s="136"/>
    </row>
    <row r="41" spans="1:136">
      <c r="A41" s="112">
        <v>1664</v>
      </c>
      <c r="B41" s="153" t="s">
        <v>31</v>
      </c>
      <c r="C41" s="146">
        <v>2604334</v>
      </c>
      <c r="D41" s="115" t="s">
        <v>352</v>
      </c>
      <c r="E41" s="111">
        <v>127</v>
      </c>
      <c r="F41" s="112" t="s">
        <v>318</v>
      </c>
      <c r="G41" s="112"/>
      <c r="H41" s="112" t="s">
        <v>319</v>
      </c>
      <c r="I41" s="112"/>
      <c r="J41" s="113">
        <v>42317</v>
      </c>
      <c r="K41" s="114">
        <v>45</v>
      </c>
      <c r="L41" s="112">
        <v>16</v>
      </c>
      <c r="M41" s="113">
        <v>41579</v>
      </c>
      <c r="N41" s="112">
        <v>2</v>
      </c>
      <c r="O41" s="137">
        <v>42818</v>
      </c>
      <c r="P41" s="5">
        <v>42844</v>
      </c>
      <c r="Q41" s="179"/>
      <c r="R41" s="112"/>
      <c r="S41" s="112"/>
      <c r="T41" s="112"/>
      <c r="U41" s="112"/>
      <c r="V41" s="112"/>
      <c r="W41" s="112"/>
      <c r="X41" s="112"/>
      <c r="Y41" s="140" t="s">
        <v>119</v>
      </c>
      <c r="Z41" s="140" t="s">
        <v>120</v>
      </c>
      <c r="AA41" s="7"/>
      <c r="AB41" s="7"/>
      <c r="AC41" s="7"/>
      <c r="AD41" s="7"/>
      <c r="AE41" s="7"/>
      <c r="AF41" s="7"/>
      <c r="AG41" s="7"/>
      <c r="AH41" s="121">
        <v>1</v>
      </c>
      <c r="AI41" s="124"/>
      <c r="AJ41" s="121"/>
      <c r="AK41" s="121"/>
      <c r="AL41" s="121"/>
      <c r="AM41" s="121"/>
      <c r="AN41" s="121"/>
      <c r="AO41" s="121"/>
      <c r="AP41" s="121"/>
      <c r="AQ41" s="125">
        <v>511.42</v>
      </c>
      <c r="AR41" s="125">
        <v>1263.5</v>
      </c>
      <c r="AS41" s="126"/>
      <c r="AT41" s="126"/>
      <c r="AU41" s="127"/>
      <c r="AV41" s="127"/>
      <c r="AW41" s="127"/>
      <c r="AX41" s="127"/>
      <c r="AY41" s="127"/>
      <c r="AZ41" s="125">
        <v>1.03</v>
      </c>
      <c r="BA41" s="125">
        <v>2.5299999999999998</v>
      </c>
      <c r="BB41" s="127"/>
      <c r="BC41" s="127"/>
      <c r="BD41" s="127"/>
      <c r="BE41" s="127"/>
      <c r="BF41" s="127"/>
      <c r="BG41" s="127"/>
      <c r="BH41" s="127"/>
      <c r="BI41" s="125">
        <v>31.03</v>
      </c>
      <c r="BJ41" s="125">
        <v>54.79</v>
      </c>
      <c r="BK41" s="127"/>
      <c r="BL41" s="127"/>
      <c r="BM41" s="127"/>
      <c r="BN41" s="127"/>
      <c r="BO41" s="127"/>
      <c r="BP41" s="127"/>
      <c r="BQ41" s="127"/>
      <c r="BR41" s="125">
        <v>1077.1500000000001</v>
      </c>
      <c r="BS41" s="125">
        <v>906.46</v>
      </c>
      <c r="BT41" s="127"/>
      <c r="BU41" s="127"/>
      <c r="BV41" s="127"/>
      <c r="BW41" s="127"/>
      <c r="BX41" s="127"/>
      <c r="BY41" s="127"/>
      <c r="BZ41" s="127"/>
      <c r="CA41" s="9">
        <v>45</v>
      </c>
      <c r="CB41" s="7">
        <v>42317</v>
      </c>
      <c r="CC41" s="9">
        <f t="shared" si="23"/>
        <v>-16</v>
      </c>
      <c r="CD41" s="9">
        <v>37</v>
      </c>
      <c r="CE41" s="137">
        <v>42818</v>
      </c>
      <c r="CF41" s="128">
        <f t="shared" si="24"/>
        <v>3</v>
      </c>
      <c r="CG41" s="128">
        <f t="shared" si="20"/>
        <v>6</v>
      </c>
      <c r="CH41" s="39">
        <v>37</v>
      </c>
      <c r="CI41" s="40">
        <v>42818</v>
      </c>
      <c r="CJ41" s="18">
        <v>0</v>
      </c>
      <c r="CK41" s="39">
        <v>36</v>
      </c>
      <c r="CL41" s="40">
        <v>42912</v>
      </c>
      <c r="CM41" s="21">
        <v>3</v>
      </c>
      <c r="CN41" s="41">
        <v>33</v>
      </c>
      <c r="CO41" s="42">
        <v>43007</v>
      </c>
      <c r="CP41" s="23">
        <v>6</v>
      </c>
      <c r="CQ41" s="43">
        <v>26</v>
      </c>
      <c r="CR41" s="44">
        <v>43208</v>
      </c>
      <c r="CS41" s="45">
        <v>13</v>
      </c>
      <c r="CT41" s="59">
        <v>25</v>
      </c>
      <c r="CU41" s="60">
        <v>43542</v>
      </c>
      <c r="CV41" s="29">
        <v>24</v>
      </c>
      <c r="CW41" s="12">
        <v>22</v>
      </c>
      <c r="CX41" s="11">
        <v>43878</v>
      </c>
      <c r="CY41" s="12">
        <v>35</v>
      </c>
      <c r="CZ41" s="127">
        <f t="shared" si="25"/>
        <v>0.26829268292682928</v>
      </c>
      <c r="DA41" s="127">
        <f t="shared" si="26"/>
        <v>0.26829268292682928</v>
      </c>
      <c r="DB41" s="127">
        <f t="shared" si="27"/>
        <v>0.5</v>
      </c>
      <c r="DC41" s="127">
        <f t="shared" si="21"/>
        <v>0.66666666666666663</v>
      </c>
      <c r="DD41" s="127">
        <f t="shared" si="28"/>
        <v>0.42857142857142855</v>
      </c>
      <c r="DE41" s="9">
        <f t="shared" si="29"/>
        <v>35</v>
      </c>
      <c r="DF41" s="127">
        <f t="shared" si="30"/>
        <v>0.45098039215686275</v>
      </c>
      <c r="DG41" s="9">
        <f t="shared" si="31"/>
        <v>51</v>
      </c>
      <c r="DH41" s="129">
        <f t="shared" si="32"/>
        <v>-7.1428571428571452E-2</v>
      </c>
      <c r="DI41" s="144">
        <f t="shared" si="22"/>
        <v>0.16666666666666663</v>
      </c>
      <c r="DJ41" s="129">
        <f t="shared" si="33"/>
        <v>0.18268770923003347</v>
      </c>
      <c r="DK41" s="9"/>
      <c r="DL41" s="7"/>
      <c r="DM41" s="9"/>
      <c r="DN41" s="7"/>
      <c r="DO41" s="9">
        <f t="shared" si="34"/>
        <v>24</v>
      </c>
      <c r="DP41" s="114">
        <f t="shared" si="35"/>
        <v>41</v>
      </c>
      <c r="DQ41" s="114">
        <f t="shared" si="36"/>
        <v>16</v>
      </c>
      <c r="DR41" s="131">
        <v>1</v>
      </c>
      <c r="DS41" s="145"/>
      <c r="DT41" s="145"/>
      <c r="DU41" s="145"/>
      <c r="DV41" s="145"/>
      <c r="DW41" s="145"/>
      <c r="DX41" s="145"/>
      <c r="DY41" s="145"/>
      <c r="DZ41" s="145"/>
      <c r="EA41" s="145"/>
      <c r="EB41" s="145"/>
      <c r="EC41" s="145"/>
      <c r="ED41" s="145"/>
      <c r="EE41" s="145"/>
      <c r="EF41" s="156"/>
    </row>
    <row r="42" spans="1:136">
      <c r="A42" s="112">
        <v>1750</v>
      </c>
      <c r="B42" s="153" t="s">
        <v>32</v>
      </c>
      <c r="C42" s="146">
        <v>2620685</v>
      </c>
      <c r="D42" s="115" t="s">
        <v>353</v>
      </c>
      <c r="E42" s="111">
        <v>115</v>
      </c>
      <c r="F42" s="112" t="s">
        <v>318</v>
      </c>
      <c r="G42" s="112"/>
      <c r="H42" s="112" t="s">
        <v>319</v>
      </c>
      <c r="I42" s="112"/>
      <c r="J42" s="113">
        <v>42454</v>
      </c>
      <c r="K42" s="114">
        <v>44</v>
      </c>
      <c r="L42" s="112">
        <v>7</v>
      </c>
      <c r="M42" s="113">
        <v>42278</v>
      </c>
      <c r="N42" s="112">
        <v>2</v>
      </c>
      <c r="O42" s="137">
        <v>42692</v>
      </c>
      <c r="P42" s="5">
        <v>42718</v>
      </c>
      <c r="Q42" s="179"/>
      <c r="R42" s="112"/>
      <c r="S42" s="112"/>
      <c r="T42" s="112"/>
      <c r="U42" s="112"/>
      <c r="V42" s="112"/>
      <c r="W42" s="112"/>
      <c r="X42" s="112"/>
      <c r="Y42" s="140" t="s">
        <v>121</v>
      </c>
      <c r="Z42" s="140" t="s">
        <v>122</v>
      </c>
      <c r="AA42" s="7"/>
      <c r="AB42" s="7"/>
      <c r="AC42" s="7"/>
      <c r="AD42" s="7"/>
      <c r="AE42" s="7"/>
      <c r="AF42" s="7"/>
      <c r="AG42" s="7"/>
      <c r="AH42" s="121">
        <v>1</v>
      </c>
      <c r="AI42" s="124"/>
      <c r="AJ42" s="124"/>
      <c r="AK42" s="124"/>
      <c r="AL42" s="124"/>
      <c r="AM42" s="124"/>
      <c r="AN42" s="121"/>
      <c r="AO42" s="121"/>
      <c r="AP42" s="121"/>
      <c r="AQ42" s="125">
        <v>2138.5</v>
      </c>
      <c r="AR42" s="125">
        <v>1617.77</v>
      </c>
      <c r="AS42" s="126"/>
      <c r="AT42" s="126"/>
      <c r="AU42" s="127"/>
      <c r="AV42" s="127"/>
      <c r="AW42" s="127"/>
      <c r="AX42" s="127"/>
      <c r="AY42" s="127"/>
      <c r="AZ42" s="125">
        <v>3.12</v>
      </c>
      <c r="BA42" s="125">
        <v>1.63</v>
      </c>
      <c r="BB42" s="127"/>
      <c r="BC42" s="127"/>
      <c r="BD42" s="127"/>
      <c r="BE42" s="127"/>
      <c r="BF42" s="127"/>
      <c r="BG42" s="127"/>
      <c r="BH42" s="127"/>
      <c r="BI42" s="125">
        <v>59.12</v>
      </c>
      <c r="BJ42" s="125">
        <v>52.79</v>
      </c>
      <c r="BK42" s="127"/>
      <c r="BL42" s="127"/>
      <c r="BM42" s="127"/>
      <c r="BN42" s="127"/>
      <c r="BO42" s="127"/>
      <c r="BP42" s="127"/>
      <c r="BQ42" s="127"/>
      <c r="BR42" s="125">
        <v>1296.94</v>
      </c>
      <c r="BS42" s="125">
        <v>801.69</v>
      </c>
      <c r="BT42" s="127"/>
      <c r="BU42" s="127"/>
      <c r="BV42" s="127"/>
      <c r="BW42" s="127"/>
      <c r="BX42" s="127"/>
      <c r="BY42" s="127"/>
      <c r="BZ42" s="127"/>
      <c r="CA42" s="9">
        <v>44</v>
      </c>
      <c r="CB42" s="7">
        <v>42454</v>
      </c>
      <c r="CC42" s="9">
        <f t="shared" si="23"/>
        <v>-8</v>
      </c>
      <c r="CD42" s="9">
        <v>35</v>
      </c>
      <c r="CE42" s="137">
        <v>42692</v>
      </c>
      <c r="CF42" s="128">
        <f t="shared" si="24"/>
        <v>4</v>
      </c>
      <c r="CG42" s="128">
        <f t="shared" si="20"/>
        <v>6</v>
      </c>
      <c r="CH42" s="39">
        <v>35</v>
      </c>
      <c r="CI42" s="40">
        <v>42689</v>
      </c>
      <c r="CJ42" s="18">
        <v>0</v>
      </c>
      <c r="CK42" s="39">
        <v>29</v>
      </c>
      <c r="CL42" s="40">
        <v>42828</v>
      </c>
      <c r="CM42" s="21">
        <v>4</v>
      </c>
      <c r="CN42" s="41">
        <v>27</v>
      </c>
      <c r="CO42" s="42">
        <v>42863</v>
      </c>
      <c r="CP42" s="23">
        <v>6</v>
      </c>
      <c r="CQ42" s="39">
        <v>14</v>
      </c>
      <c r="CR42" s="46">
        <v>42989</v>
      </c>
      <c r="CS42" s="24">
        <v>10</v>
      </c>
      <c r="CT42" s="59">
        <v>5</v>
      </c>
      <c r="CU42" s="60">
        <v>43395</v>
      </c>
      <c r="CV42" s="29">
        <v>23</v>
      </c>
      <c r="CW42" s="12">
        <v>4</v>
      </c>
      <c r="CX42" s="11">
        <v>43752</v>
      </c>
      <c r="CY42" s="12">
        <v>35</v>
      </c>
      <c r="CZ42" s="127">
        <f t="shared" si="25"/>
        <v>1</v>
      </c>
      <c r="DA42" s="127">
        <f t="shared" si="26"/>
        <v>1</v>
      </c>
      <c r="DB42" s="127">
        <f t="shared" si="27"/>
        <v>1.125</v>
      </c>
      <c r="DC42" s="127">
        <f t="shared" si="21"/>
        <v>1.3333333333333333</v>
      </c>
      <c r="DD42" s="127">
        <f t="shared" si="28"/>
        <v>0.88571428571428568</v>
      </c>
      <c r="DE42" s="9">
        <f t="shared" si="29"/>
        <v>35</v>
      </c>
      <c r="DF42" s="127">
        <f t="shared" si="30"/>
        <v>0.93023255813953487</v>
      </c>
      <c r="DG42" s="9">
        <f t="shared" si="31"/>
        <v>43</v>
      </c>
      <c r="DH42" s="129">
        <f t="shared" si="32"/>
        <v>-0.23928571428571432</v>
      </c>
      <c r="DI42" s="144">
        <f t="shared" si="22"/>
        <v>0.20833333333333326</v>
      </c>
      <c r="DJ42" s="129">
        <f t="shared" si="33"/>
        <v>-6.9767441860465129E-2</v>
      </c>
      <c r="DK42" s="9"/>
      <c r="DL42" s="7"/>
      <c r="DM42" s="9"/>
      <c r="DN42" s="7"/>
      <c r="DO42" s="9">
        <f t="shared" si="34"/>
        <v>6</v>
      </c>
      <c r="DP42" s="114">
        <f t="shared" si="35"/>
        <v>13</v>
      </c>
      <c r="DQ42" s="114">
        <f t="shared" si="36"/>
        <v>8</v>
      </c>
      <c r="DR42" s="131">
        <v>1</v>
      </c>
      <c r="DS42" s="145"/>
      <c r="DT42" s="145"/>
      <c r="DU42" s="145"/>
      <c r="DV42" s="145"/>
      <c r="DW42" s="145"/>
      <c r="DX42" s="145"/>
      <c r="DY42" s="145"/>
      <c r="DZ42" s="145"/>
      <c r="EA42" s="145"/>
      <c r="EB42" s="145"/>
      <c r="EC42" s="145"/>
      <c r="ED42" s="145"/>
      <c r="EE42" s="145"/>
      <c r="EF42" s="136"/>
    </row>
    <row r="43" spans="1:136">
      <c r="A43" s="112">
        <v>1230</v>
      </c>
      <c r="B43" s="153" t="s">
        <v>33</v>
      </c>
      <c r="C43" s="146">
        <v>2539431</v>
      </c>
      <c r="D43" s="112" t="s">
        <v>354</v>
      </c>
      <c r="E43" s="111">
        <v>6</v>
      </c>
      <c r="F43" s="112" t="s">
        <v>318</v>
      </c>
      <c r="G43" s="112"/>
      <c r="H43" s="112" t="s">
        <v>319</v>
      </c>
      <c r="I43" s="112"/>
      <c r="J43" s="113">
        <v>41806</v>
      </c>
      <c r="K43" s="114">
        <v>41</v>
      </c>
      <c r="L43" s="112">
        <v>8</v>
      </c>
      <c r="M43" s="113">
        <v>41456</v>
      </c>
      <c r="N43" s="112">
        <v>2</v>
      </c>
      <c r="O43" s="137">
        <v>42075</v>
      </c>
      <c r="P43" s="5">
        <v>42101</v>
      </c>
      <c r="Q43" s="179"/>
      <c r="R43" s="112"/>
      <c r="S43" s="112"/>
      <c r="T43" s="112"/>
      <c r="U43" s="112"/>
      <c r="V43" s="112"/>
      <c r="W43" s="112"/>
      <c r="X43" s="112"/>
      <c r="Y43" s="140" t="s">
        <v>123</v>
      </c>
      <c r="Z43" s="140" t="s">
        <v>124</v>
      </c>
      <c r="AA43" s="7"/>
      <c r="AB43" s="7"/>
      <c r="AC43" s="7"/>
      <c r="AD43" s="7"/>
      <c r="AE43" s="7"/>
      <c r="AF43" s="7"/>
      <c r="AG43" s="7"/>
      <c r="AH43" s="121">
        <v>1</v>
      </c>
      <c r="AI43" s="124"/>
      <c r="AJ43" s="124"/>
      <c r="AK43" s="124"/>
      <c r="AL43" s="124"/>
      <c r="AM43" s="124"/>
      <c r="AN43" s="124"/>
      <c r="AO43" s="124"/>
      <c r="AP43" s="124"/>
      <c r="AQ43" s="125">
        <v>890.5</v>
      </c>
      <c r="AR43" s="125">
        <v>2800.7</v>
      </c>
      <c r="AS43" s="126"/>
      <c r="AT43" s="126"/>
      <c r="AU43" s="127"/>
      <c r="AV43" s="127"/>
      <c r="AW43" s="127"/>
      <c r="AX43" s="127"/>
      <c r="AY43" s="127"/>
      <c r="AZ43" s="125">
        <v>2.6</v>
      </c>
      <c r="BA43" s="125">
        <v>5.74</v>
      </c>
      <c r="BB43" s="127"/>
      <c r="BC43" s="127"/>
      <c r="BD43" s="127"/>
      <c r="BE43" s="127"/>
      <c r="BF43" s="127"/>
      <c r="BG43" s="127"/>
      <c r="BH43" s="127"/>
      <c r="BI43" s="125">
        <v>45.39</v>
      </c>
      <c r="BJ43" s="125">
        <v>107.31</v>
      </c>
      <c r="BK43" s="127"/>
      <c r="BL43" s="127"/>
      <c r="BM43" s="127"/>
      <c r="BN43" s="127"/>
      <c r="BO43" s="127"/>
      <c r="BP43" s="127"/>
      <c r="BQ43" s="127"/>
      <c r="BR43" s="125">
        <v>986.7</v>
      </c>
      <c r="BS43" s="125">
        <v>1341.7</v>
      </c>
      <c r="BT43" s="127"/>
      <c r="BU43" s="127"/>
      <c r="BV43" s="127"/>
      <c r="BW43" s="127"/>
      <c r="BX43" s="127"/>
      <c r="BY43" s="127"/>
      <c r="BZ43" s="127"/>
      <c r="CA43" s="9">
        <v>41</v>
      </c>
      <c r="CB43" s="7">
        <v>41806</v>
      </c>
      <c r="CC43" s="9">
        <f t="shared" si="23"/>
        <v>-9</v>
      </c>
      <c r="CD43" s="9">
        <v>34</v>
      </c>
      <c r="CE43" s="137">
        <v>42075</v>
      </c>
      <c r="CF43" s="128">
        <f t="shared" si="24"/>
        <v>4</v>
      </c>
      <c r="CG43" s="128">
        <f t="shared" si="20"/>
        <v>7</v>
      </c>
      <c r="CH43" s="39">
        <v>34</v>
      </c>
      <c r="CI43" s="40">
        <v>42075</v>
      </c>
      <c r="CJ43" s="18">
        <v>0</v>
      </c>
      <c r="CK43" s="39">
        <v>28</v>
      </c>
      <c r="CL43" s="40">
        <v>42191</v>
      </c>
      <c r="CM43" s="21">
        <v>4</v>
      </c>
      <c r="CN43" s="41">
        <v>26</v>
      </c>
      <c r="CO43" s="42">
        <v>42282</v>
      </c>
      <c r="CP43" s="23">
        <v>7</v>
      </c>
      <c r="CQ43" s="39">
        <v>22</v>
      </c>
      <c r="CR43" s="46">
        <v>42506</v>
      </c>
      <c r="CS43" s="24">
        <v>14</v>
      </c>
      <c r="CT43" s="59">
        <v>4</v>
      </c>
      <c r="CU43" s="60">
        <v>42801</v>
      </c>
      <c r="CV43" s="29">
        <v>24</v>
      </c>
      <c r="CW43" s="12">
        <v>1</v>
      </c>
      <c r="CX43" s="11">
        <v>43129</v>
      </c>
      <c r="CY43" s="12">
        <v>35</v>
      </c>
      <c r="CZ43" s="127">
        <f t="shared" si="25"/>
        <v>0.7</v>
      </c>
      <c r="DA43" s="127">
        <f t="shared" si="26"/>
        <v>0.7</v>
      </c>
      <c r="DB43" s="127">
        <f t="shared" si="27"/>
        <v>0.77777777777777779</v>
      </c>
      <c r="DC43" s="127">
        <f t="shared" si="21"/>
        <v>1.1428571428571428</v>
      </c>
      <c r="DD43" s="127">
        <f t="shared" si="28"/>
        <v>0.94285714285714284</v>
      </c>
      <c r="DE43" s="9">
        <f t="shared" si="29"/>
        <v>35</v>
      </c>
      <c r="DF43" s="127">
        <f t="shared" si="30"/>
        <v>0.93023255813953487</v>
      </c>
      <c r="DG43" s="9">
        <f t="shared" si="31"/>
        <v>43</v>
      </c>
      <c r="DH43" s="129">
        <f t="shared" si="32"/>
        <v>0.16507936507936505</v>
      </c>
      <c r="DI43" s="144">
        <f t="shared" si="22"/>
        <v>0.365079365079365</v>
      </c>
      <c r="DJ43" s="129">
        <f t="shared" si="33"/>
        <v>0.23023255813953492</v>
      </c>
      <c r="DK43" s="9"/>
      <c r="DL43" s="7"/>
      <c r="DM43" s="9"/>
      <c r="DN43" s="7"/>
      <c r="DO43" s="9">
        <f t="shared" si="34"/>
        <v>11</v>
      </c>
      <c r="DP43" s="114">
        <f t="shared" si="35"/>
        <v>20</v>
      </c>
      <c r="DQ43" s="114">
        <f t="shared" si="36"/>
        <v>9</v>
      </c>
      <c r="DR43" s="131">
        <v>1</v>
      </c>
      <c r="DS43" s="145"/>
      <c r="DT43" s="145"/>
      <c r="DU43" s="145"/>
      <c r="DV43" s="145"/>
      <c r="DW43" s="145"/>
      <c r="DX43" s="145"/>
      <c r="DY43" s="145"/>
      <c r="DZ43" s="145"/>
      <c r="EA43" s="145"/>
      <c r="EB43" s="145"/>
      <c r="EC43" s="145"/>
      <c r="ED43" s="145"/>
      <c r="EE43" s="145"/>
      <c r="EF43" s="136"/>
    </row>
    <row r="44" spans="1:136">
      <c r="A44" s="112">
        <v>1511</v>
      </c>
      <c r="B44" s="153" t="s">
        <v>34</v>
      </c>
      <c r="C44" s="146">
        <v>2579166</v>
      </c>
      <c r="D44" s="112" t="s">
        <v>355</v>
      </c>
      <c r="E44" s="111">
        <v>79</v>
      </c>
      <c r="F44" s="112" t="s">
        <v>318</v>
      </c>
      <c r="G44" s="112"/>
      <c r="H44" s="112" t="s">
        <v>319</v>
      </c>
      <c r="I44" s="112"/>
      <c r="J44" s="113">
        <v>42129</v>
      </c>
      <c r="K44" s="114">
        <v>38</v>
      </c>
      <c r="L44" s="112">
        <v>4</v>
      </c>
      <c r="M44" s="113">
        <v>41395</v>
      </c>
      <c r="N44" s="112">
        <v>2</v>
      </c>
      <c r="O44" s="137">
        <v>42271</v>
      </c>
      <c r="P44" s="5">
        <v>42297</v>
      </c>
      <c r="Q44" s="179"/>
      <c r="R44" s="112"/>
      <c r="S44" s="112"/>
      <c r="T44" s="112"/>
      <c r="U44" s="112"/>
      <c r="V44" s="112"/>
      <c r="W44" s="112"/>
      <c r="X44" s="112"/>
      <c r="Y44" s="140" t="s">
        <v>125</v>
      </c>
      <c r="Z44" s="140" t="s">
        <v>126</v>
      </c>
      <c r="AA44" s="7"/>
      <c r="AB44" s="7"/>
      <c r="AC44" s="7"/>
      <c r="AD44" s="7"/>
      <c r="AE44" s="7"/>
      <c r="AF44" s="7"/>
      <c r="AG44" s="7"/>
      <c r="AH44" s="121">
        <v>1</v>
      </c>
      <c r="AI44" s="124"/>
      <c r="AJ44" s="124"/>
      <c r="AK44" s="121"/>
      <c r="AL44" s="121"/>
      <c r="AM44" s="121"/>
      <c r="AN44" s="121"/>
      <c r="AO44" s="121"/>
      <c r="AP44" s="121"/>
      <c r="AQ44" s="125">
        <v>659.68</v>
      </c>
      <c r="AR44" s="125">
        <v>850.71</v>
      </c>
      <c r="AS44" s="126"/>
      <c r="AT44" s="126"/>
      <c r="AU44" s="127"/>
      <c r="AV44" s="127"/>
      <c r="AW44" s="127"/>
      <c r="AX44" s="127"/>
      <c r="AY44" s="127"/>
      <c r="AZ44" s="125">
        <v>1.78</v>
      </c>
      <c r="BA44" s="125">
        <v>2.08</v>
      </c>
      <c r="BB44" s="127"/>
      <c r="BC44" s="127"/>
      <c r="BD44" s="127"/>
      <c r="BE44" s="127"/>
      <c r="BF44" s="127"/>
      <c r="BG44" s="127"/>
      <c r="BH44" s="127"/>
      <c r="BI44" s="125">
        <v>32.94</v>
      </c>
      <c r="BJ44" s="125">
        <v>35.54</v>
      </c>
      <c r="BK44" s="127"/>
      <c r="BL44" s="127"/>
      <c r="BM44" s="127"/>
      <c r="BN44" s="127"/>
      <c r="BO44" s="127"/>
      <c r="BP44" s="127"/>
      <c r="BQ44" s="127"/>
      <c r="BR44" s="125">
        <v>728.7</v>
      </c>
      <c r="BS44" s="125">
        <v>621.85</v>
      </c>
      <c r="BT44" s="127"/>
      <c r="BU44" s="127"/>
      <c r="BV44" s="127"/>
      <c r="BW44" s="127"/>
      <c r="BX44" s="127"/>
      <c r="BY44" s="127"/>
      <c r="BZ44" s="127"/>
      <c r="CA44" s="9">
        <v>38</v>
      </c>
      <c r="CB44" s="7">
        <v>42129</v>
      </c>
      <c r="CC44" s="9">
        <f t="shared" si="23"/>
        <v>-5</v>
      </c>
      <c r="CD44" s="9">
        <v>36</v>
      </c>
      <c r="CE44" s="137">
        <v>42271</v>
      </c>
      <c r="CF44" s="128">
        <f t="shared" si="24"/>
        <v>3</v>
      </c>
      <c r="CG44" s="128">
        <f t="shared" si="20"/>
        <v>5</v>
      </c>
      <c r="CH44" s="39">
        <v>36</v>
      </c>
      <c r="CI44" s="40">
        <v>42271</v>
      </c>
      <c r="CJ44" s="18">
        <v>0</v>
      </c>
      <c r="CK44" s="39">
        <v>32</v>
      </c>
      <c r="CL44" s="40">
        <v>42359</v>
      </c>
      <c r="CM44" s="21">
        <v>3</v>
      </c>
      <c r="CN44" s="41">
        <v>32</v>
      </c>
      <c r="CO44" s="42">
        <v>42429</v>
      </c>
      <c r="CP44" s="23">
        <v>5</v>
      </c>
      <c r="CQ44" s="39">
        <v>31</v>
      </c>
      <c r="CR44" s="46">
        <v>42653</v>
      </c>
      <c r="CS44" s="29">
        <v>13</v>
      </c>
      <c r="CT44" s="43">
        <v>23</v>
      </c>
      <c r="CU44" s="44">
        <v>42954</v>
      </c>
      <c r="CV44" s="45">
        <v>22</v>
      </c>
      <c r="CW44" s="12">
        <v>21</v>
      </c>
      <c r="CX44" s="11">
        <v>43283</v>
      </c>
      <c r="CY44" s="12">
        <v>33</v>
      </c>
      <c r="CZ44" s="127">
        <f t="shared" si="25"/>
        <v>0.41379310344827586</v>
      </c>
      <c r="DA44" s="127">
        <f t="shared" si="26"/>
        <v>0.41379310344827586</v>
      </c>
      <c r="DB44" s="127">
        <f t="shared" si="27"/>
        <v>0.4</v>
      </c>
      <c r="DC44" s="127">
        <f t="shared" si="21"/>
        <v>0.8</v>
      </c>
      <c r="DD44" s="127">
        <f t="shared" si="28"/>
        <v>0.45454545454545453</v>
      </c>
      <c r="DE44" s="9">
        <f t="shared" si="29"/>
        <v>33</v>
      </c>
      <c r="DF44" s="127">
        <f t="shared" si="30"/>
        <v>0.44736842105263158</v>
      </c>
      <c r="DG44" s="9">
        <f t="shared" si="31"/>
        <v>38</v>
      </c>
      <c r="DH44" s="129">
        <f t="shared" si="32"/>
        <v>5.4545454545454508E-2</v>
      </c>
      <c r="DI44" s="130">
        <f t="shared" si="22"/>
        <v>0.4</v>
      </c>
      <c r="DJ44" s="129">
        <f t="shared" si="33"/>
        <v>3.3575317604355726E-2</v>
      </c>
      <c r="DK44" s="9"/>
      <c r="DL44" s="7"/>
      <c r="DM44" s="9"/>
      <c r="DN44" s="7"/>
      <c r="DO44" s="9">
        <f t="shared" si="34"/>
        <v>24</v>
      </c>
      <c r="DP44" s="114">
        <f t="shared" si="35"/>
        <v>29</v>
      </c>
      <c r="DQ44" s="114">
        <f t="shared" si="36"/>
        <v>5</v>
      </c>
      <c r="DR44" s="131">
        <v>1</v>
      </c>
      <c r="DS44" s="145"/>
      <c r="DT44" s="145"/>
      <c r="DU44" s="145"/>
      <c r="DV44" s="145"/>
      <c r="DW44" s="145"/>
      <c r="DX44" s="145"/>
      <c r="DY44" s="145"/>
      <c r="DZ44" s="145"/>
      <c r="EA44" s="145"/>
      <c r="EB44" s="145"/>
      <c r="EC44" s="145"/>
      <c r="ED44" s="145"/>
      <c r="EE44" s="145"/>
      <c r="EF44" s="136"/>
    </row>
    <row r="45" spans="1:136">
      <c r="A45" s="112">
        <v>1504</v>
      </c>
      <c r="B45" s="153" t="s">
        <v>35</v>
      </c>
      <c r="C45" s="146">
        <v>2578756</v>
      </c>
      <c r="D45" s="112" t="s">
        <v>356</v>
      </c>
      <c r="E45" s="111">
        <v>72</v>
      </c>
      <c r="F45" s="112" t="s">
        <v>318</v>
      </c>
      <c r="G45" s="112"/>
      <c r="H45" s="112" t="s">
        <v>319</v>
      </c>
      <c r="I45" s="112"/>
      <c r="J45" s="113">
        <v>42111</v>
      </c>
      <c r="K45" s="114">
        <v>45</v>
      </c>
      <c r="L45" s="112">
        <v>4</v>
      </c>
      <c r="M45" s="113">
        <v>42005</v>
      </c>
      <c r="N45" s="112">
        <v>2</v>
      </c>
      <c r="O45" s="137">
        <v>42237</v>
      </c>
      <c r="P45" s="5">
        <v>42263</v>
      </c>
      <c r="Q45" s="179"/>
      <c r="R45" s="112"/>
      <c r="S45" s="112"/>
      <c r="T45" s="112"/>
      <c r="U45" s="112"/>
      <c r="V45" s="112"/>
      <c r="W45" s="112"/>
      <c r="X45" s="112"/>
      <c r="Y45" s="140" t="s">
        <v>127</v>
      </c>
      <c r="Z45" s="140" t="s">
        <v>128</v>
      </c>
      <c r="AA45" s="7"/>
      <c r="AB45" s="7"/>
      <c r="AC45" s="7"/>
      <c r="AD45" s="7"/>
      <c r="AE45" s="7"/>
      <c r="AF45" s="7"/>
      <c r="AG45" s="7"/>
      <c r="AH45" s="121">
        <v>1</v>
      </c>
      <c r="AI45" s="124"/>
      <c r="AJ45" s="124"/>
      <c r="AK45" s="124"/>
      <c r="AL45" s="124"/>
      <c r="AM45" s="124"/>
      <c r="AN45" s="124"/>
      <c r="AO45" s="124"/>
      <c r="AP45" s="124"/>
      <c r="AQ45" s="125">
        <v>933.24</v>
      </c>
      <c r="AR45" s="125">
        <v>1216.67</v>
      </c>
      <c r="AS45" s="126"/>
      <c r="AT45" s="126"/>
      <c r="AU45" s="127"/>
      <c r="AV45" s="127"/>
      <c r="AW45" s="127"/>
      <c r="AX45" s="127"/>
      <c r="AY45" s="127"/>
      <c r="AZ45" s="125">
        <v>1.63</v>
      </c>
      <c r="BA45" s="125">
        <v>1.18</v>
      </c>
      <c r="BB45" s="127"/>
      <c r="BC45" s="127"/>
      <c r="BD45" s="127"/>
      <c r="BE45" s="127"/>
      <c r="BF45" s="127"/>
      <c r="BG45" s="127"/>
      <c r="BH45" s="127"/>
      <c r="BI45" s="125">
        <v>39.15</v>
      </c>
      <c r="BJ45" s="125">
        <v>39.47</v>
      </c>
      <c r="BK45" s="127"/>
      <c r="BL45" s="127"/>
      <c r="BM45" s="127"/>
      <c r="BN45" s="127"/>
      <c r="BO45" s="127"/>
      <c r="BP45" s="127"/>
      <c r="BQ45" s="127"/>
      <c r="BR45" s="125">
        <v>805.47</v>
      </c>
      <c r="BS45" s="125">
        <v>475.91</v>
      </c>
      <c r="BT45" s="127"/>
      <c r="BU45" s="127"/>
      <c r="BV45" s="127"/>
      <c r="BW45" s="127"/>
      <c r="BX45" s="127"/>
      <c r="BY45" s="127"/>
      <c r="BZ45" s="127"/>
      <c r="CA45" s="9">
        <v>45</v>
      </c>
      <c r="CB45" s="7">
        <v>42111</v>
      </c>
      <c r="CC45" s="9">
        <f t="shared" si="23"/>
        <v>-4</v>
      </c>
      <c r="CD45" s="9">
        <v>40</v>
      </c>
      <c r="CE45" s="137">
        <v>42237</v>
      </c>
      <c r="CF45" s="128">
        <f t="shared" si="24"/>
        <v>4</v>
      </c>
      <c r="CG45" s="128">
        <f t="shared" si="20"/>
        <v>6</v>
      </c>
      <c r="CH45" s="39">
        <v>40</v>
      </c>
      <c r="CI45" s="40">
        <v>42237</v>
      </c>
      <c r="CJ45" s="18">
        <v>0</v>
      </c>
      <c r="CK45" s="39">
        <v>34</v>
      </c>
      <c r="CL45" s="40">
        <v>42373</v>
      </c>
      <c r="CM45" s="21">
        <v>4</v>
      </c>
      <c r="CN45" s="41">
        <v>30</v>
      </c>
      <c r="CO45" s="42">
        <v>42429</v>
      </c>
      <c r="CP45" s="23">
        <v>6</v>
      </c>
      <c r="CQ45" s="39">
        <v>24</v>
      </c>
      <c r="CR45" s="46">
        <v>42576</v>
      </c>
      <c r="CS45" s="29">
        <v>11</v>
      </c>
      <c r="CT45" s="43">
        <v>9</v>
      </c>
      <c r="CU45" s="44">
        <v>42913</v>
      </c>
      <c r="CV45" s="45">
        <v>22</v>
      </c>
      <c r="CW45" s="12">
        <v>1</v>
      </c>
      <c r="CX45" s="11">
        <v>43297</v>
      </c>
      <c r="CY45" s="12">
        <v>35</v>
      </c>
      <c r="CZ45" s="127">
        <f t="shared" si="25"/>
        <v>1</v>
      </c>
      <c r="DA45" s="127">
        <f t="shared" si="26"/>
        <v>1</v>
      </c>
      <c r="DB45" s="127">
        <f t="shared" si="27"/>
        <v>1.25</v>
      </c>
      <c r="DC45" s="127">
        <f t="shared" si="21"/>
        <v>1.6666666666666667</v>
      </c>
      <c r="DD45" s="127">
        <f t="shared" si="28"/>
        <v>1.1142857142857143</v>
      </c>
      <c r="DE45" s="9">
        <f t="shared" si="29"/>
        <v>35</v>
      </c>
      <c r="DF45" s="127">
        <f t="shared" si="30"/>
        <v>1.1282051282051282</v>
      </c>
      <c r="DG45" s="9">
        <f t="shared" si="31"/>
        <v>39</v>
      </c>
      <c r="DH45" s="129">
        <f t="shared" si="32"/>
        <v>-0.13571428571428568</v>
      </c>
      <c r="DI45" s="130">
        <f t="shared" si="22"/>
        <v>0.41666666666666674</v>
      </c>
      <c r="DJ45" s="129">
        <f t="shared" si="33"/>
        <v>0.12820512820512819</v>
      </c>
      <c r="DK45" s="9"/>
      <c r="DL45" s="7"/>
      <c r="DM45" s="9"/>
      <c r="DN45" s="7"/>
      <c r="DO45" s="9">
        <f t="shared" si="34"/>
        <v>3</v>
      </c>
      <c r="DP45" s="114">
        <f t="shared" si="35"/>
        <v>8</v>
      </c>
      <c r="DQ45" s="114">
        <f t="shared" si="36"/>
        <v>4</v>
      </c>
      <c r="DR45" s="131">
        <v>1</v>
      </c>
      <c r="DS45" s="145"/>
      <c r="DT45" s="145"/>
      <c r="DU45" s="145"/>
      <c r="DV45" s="145"/>
      <c r="DW45" s="145"/>
      <c r="DX45" s="145"/>
      <c r="DY45" s="145"/>
      <c r="DZ45" s="145"/>
      <c r="EA45" s="145"/>
      <c r="EB45" s="145"/>
      <c r="EC45" s="145"/>
      <c r="ED45" s="145"/>
      <c r="EE45" s="145"/>
      <c r="EF45" s="136"/>
    </row>
    <row r="46" spans="1:136">
      <c r="A46" s="112">
        <v>1800</v>
      </c>
      <c r="B46" s="108" t="s">
        <v>36</v>
      </c>
      <c r="C46" s="146">
        <v>2635027</v>
      </c>
      <c r="D46" s="112" t="s">
        <v>357</v>
      </c>
      <c r="E46" s="111">
        <v>119</v>
      </c>
      <c r="F46" s="112" t="s">
        <v>318</v>
      </c>
      <c r="G46" s="112"/>
      <c r="H46" s="112" t="s">
        <v>319</v>
      </c>
      <c r="I46" s="112"/>
      <c r="J46" s="113">
        <v>42552</v>
      </c>
      <c r="K46" s="114">
        <v>46</v>
      </c>
      <c r="L46" s="112">
        <v>6</v>
      </c>
      <c r="M46" s="113">
        <v>42430</v>
      </c>
      <c r="N46" s="112">
        <v>2</v>
      </c>
      <c r="O46" s="137">
        <v>42747</v>
      </c>
      <c r="P46" s="5">
        <v>42773</v>
      </c>
      <c r="Q46" s="179"/>
      <c r="R46" s="112"/>
      <c r="S46" s="112"/>
      <c r="T46" s="112"/>
      <c r="U46" s="112"/>
      <c r="V46" s="112"/>
      <c r="W46" s="112"/>
      <c r="X46" s="112"/>
      <c r="Y46" s="140" t="s">
        <v>129</v>
      </c>
      <c r="Z46" s="140" t="s">
        <v>130</v>
      </c>
      <c r="AA46" s="7"/>
      <c r="AB46" s="7"/>
      <c r="AC46" s="7"/>
      <c r="AD46" s="7"/>
      <c r="AE46" s="7"/>
      <c r="AF46" s="7"/>
      <c r="AG46" s="7"/>
      <c r="AH46" s="121">
        <v>1</v>
      </c>
      <c r="AI46" s="124"/>
      <c r="AJ46" s="121"/>
      <c r="AK46" s="124"/>
      <c r="AL46" s="124"/>
      <c r="AM46" s="124"/>
      <c r="AN46" s="124"/>
      <c r="AO46" s="124"/>
      <c r="AP46" s="124"/>
      <c r="AQ46" s="125">
        <v>1030.8900000000001</v>
      </c>
      <c r="AR46" s="125">
        <v>1928.01</v>
      </c>
      <c r="AS46" s="126"/>
      <c r="AT46" s="126"/>
      <c r="AU46" s="127"/>
      <c r="AV46" s="127"/>
      <c r="AW46" s="127"/>
      <c r="AX46" s="127"/>
      <c r="AY46" s="127"/>
      <c r="AZ46" s="125">
        <v>1.48</v>
      </c>
      <c r="BA46" s="125">
        <v>8.09</v>
      </c>
      <c r="BB46" s="127"/>
      <c r="BC46" s="127"/>
      <c r="BD46" s="127"/>
      <c r="BE46" s="127"/>
      <c r="BF46" s="127"/>
      <c r="BG46" s="127"/>
      <c r="BH46" s="127"/>
      <c r="BI46" s="125">
        <v>60.31</v>
      </c>
      <c r="BJ46" s="125">
        <v>60.31</v>
      </c>
      <c r="BK46" s="127"/>
      <c r="BL46" s="127"/>
      <c r="BM46" s="127"/>
      <c r="BN46" s="127"/>
      <c r="BO46" s="127"/>
      <c r="BP46" s="127"/>
      <c r="BQ46" s="127"/>
      <c r="BR46" s="125">
        <v>1330.16</v>
      </c>
      <c r="BS46" s="125">
        <v>208.69</v>
      </c>
      <c r="BT46" s="127"/>
      <c r="BU46" s="127"/>
      <c r="BV46" s="127"/>
      <c r="BW46" s="127"/>
      <c r="BX46" s="127"/>
      <c r="BY46" s="127"/>
      <c r="BZ46" s="127"/>
      <c r="CA46" s="9">
        <v>46</v>
      </c>
      <c r="CB46" s="7">
        <v>42552</v>
      </c>
      <c r="CC46" s="9">
        <f t="shared" si="23"/>
        <v>-6</v>
      </c>
      <c r="CD46" s="9">
        <v>41</v>
      </c>
      <c r="CE46" s="137">
        <v>42747</v>
      </c>
      <c r="CF46" s="128">
        <f t="shared" si="24"/>
        <v>4</v>
      </c>
      <c r="CG46" s="128">
        <f t="shared" si="20"/>
        <v>6</v>
      </c>
      <c r="CH46" s="39">
        <v>41</v>
      </c>
      <c r="CI46" s="40">
        <v>42747</v>
      </c>
      <c r="CJ46" s="18">
        <v>0</v>
      </c>
      <c r="CK46" s="39">
        <v>37</v>
      </c>
      <c r="CL46" s="40">
        <v>42863</v>
      </c>
      <c r="CM46" s="21">
        <v>4</v>
      </c>
      <c r="CN46" s="41">
        <v>33</v>
      </c>
      <c r="CO46" s="42">
        <v>42933</v>
      </c>
      <c r="CP46" s="23">
        <v>6</v>
      </c>
      <c r="CQ46" s="39">
        <v>5</v>
      </c>
      <c r="CR46" s="46">
        <v>43360</v>
      </c>
      <c r="CS46" s="24">
        <v>20</v>
      </c>
      <c r="CT46" s="59">
        <v>3</v>
      </c>
      <c r="CU46" s="60">
        <v>43451</v>
      </c>
      <c r="CV46" s="29">
        <v>23</v>
      </c>
      <c r="CW46" s="12"/>
      <c r="CX46" s="11"/>
      <c r="CY46" s="12"/>
      <c r="CZ46" s="127">
        <f t="shared" si="25"/>
        <v>0.7</v>
      </c>
      <c r="DA46" s="127">
        <f t="shared" si="26"/>
        <v>0.7</v>
      </c>
      <c r="DB46" s="127">
        <f t="shared" si="27"/>
        <v>0.83333333333333337</v>
      </c>
      <c r="DC46" s="127">
        <f t="shared" si="21"/>
        <v>1.3333333333333333</v>
      </c>
      <c r="DD46" s="127">
        <f t="shared" si="28"/>
        <v>1.6521739130434783</v>
      </c>
      <c r="DE46" s="9">
        <f t="shared" si="29"/>
        <v>23</v>
      </c>
      <c r="DF46" s="127">
        <f t="shared" si="30"/>
        <v>1.4827586206896552</v>
      </c>
      <c r="DG46" s="9">
        <f t="shared" si="31"/>
        <v>29</v>
      </c>
      <c r="DH46" s="129">
        <f t="shared" si="32"/>
        <v>0.8188405797101449</v>
      </c>
      <c r="DI46" s="130">
        <f t="shared" si="22"/>
        <v>0.49999999999999989</v>
      </c>
      <c r="DJ46" s="129">
        <f t="shared" si="33"/>
        <v>0.78275862068965529</v>
      </c>
      <c r="DK46" s="9"/>
      <c r="DL46" s="7"/>
      <c r="DM46" s="9"/>
      <c r="DN46" s="7"/>
      <c r="DO46" s="9">
        <f t="shared" si="34"/>
        <v>4</v>
      </c>
      <c r="DP46" s="114">
        <f t="shared" si="35"/>
        <v>10</v>
      </c>
      <c r="DQ46" s="114">
        <f t="shared" si="36"/>
        <v>6</v>
      </c>
      <c r="DR46" s="131">
        <v>1</v>
      </c>
      <c r="DS46" s="145"/>
      <c r="DT46" s="145"/>
      <c r="DU46" s="145"/>
      <c r="DV46" s="145"/>
      <c r="DW46" s="145"/>
      <c r="DX46" s="145"/>
      <c r="DY46" s="145"/>
      <c r="DZ46" s="145"/>
      <c r="EA46" s="145"/>
      <c r="EB46" s="145"/>
      <c r="EC46" s="145"/>
      <c r="ED46" s="145"/>
      <c r="EE46" s="145"/>
      <c r="EF46" s="136"/>
    </row>
    <row r="47" spans="1:136">
      <c r="A47" s="112">
        <v>2414</v>
      </c>
      <c r="B47" s="153" t="s">
        <v>311</v>
      </c>
      <c r="C47" s="146">
        <v>2743764</v>
      </c>
      <c r="D47" s="115" t="s">
        <v>358</v>
      </c>
      <c r="E47" s="111">
        <v>204</v>
      </c>
      <c r="F47" s="112" t="s">
        <v>313</v>
      </c>
      <c r="G47" s="112"/>
      <c r="H47" s="112" t="s">
        <v>319</v>
      </c>
      <c r="I47" s="112"/>
      <c r="J47" s="113">
        <v>43468</v>
      </c>
      <c r="K47" s="114">
        <v>39</v>
      </c>
      <c r="L47" s="112">
        <v>0</v>
      </c>
      <c r="M47" s="113">
        <v>43070</v>
      </c>
      <c r="N47" s="112">
        <v>2</v>
      </c>
      <c r="O47" s="137">
        <v>43497</v>
      </c>
      <c r="P47" s="5">
        <v>43523</v>
      </c>
      <c r="Q47" s="179"/>
      <c r="R47" s="112"/>
      <c r="S47" s="112"/>
      <c r="T47" s="112"/>
      <c r="U47" s="112"/>
      <c r="V47" s="112"/>
      <c r="W47" s="112"/>
      <c r="X47" s="112"/>
      <c r="Y47" s="140">
        <v>43497</v>
      </c>
      <c r="Z47" s="140">
        <v>43523</v>
      </c>
      <c r="AA47" s="7"/>
      <c r="AB47" s="7"/>
      <c r="AC47" s="7"/>
      <c r="AD47" s="7"/>
      <c r="AE47" s="7"/>
      <c r="AF47" s="7"/>
      <c r="AG47" s="7"/>
      <c r="AH47" s="121">
        <v>1</v>
      </c>
      <c r="AI47" s="124"/>
      <c r="AJ47" s="121"/>
      <c r="AK47" s="124"/>
      <c r="AL47" s="124"/>
      <c r="AM47" s="124"/>
      <c r="AN47" s="124"/>
      <c r="AO47" s="124"/>
      <c r="AP47" s="124"/>
      <c r="AQ47" s="125">
        <v>1406.2</v>
      </c>
      <c r="AR47" s="125">
        <v>1318.8999999999999</v>
      </c>
      <c r="AS47" s="126"/>
      <c r="AT47" s="126"/>
      <c r="AU47" s="127"/>
      <c r="AV47" s="127"/>
      <c r="AW47" s="127"/>
      <c r="AX47" s="127"/>
      <c r="AY47" s="127"/>
      <c r="AZ47" s="125">
        <v>1.83</v>
      </c>
      <c r="BA47" s="125">
        <v>2.4700000000000002</v>
      </c>
      <c r="BB47" s="127"/>
      <c r="BC47" s="127"/>
      <c r="BD47" s="127"/>
      <c r="BE47" s="127"/>
      <c r="BF47" s="127"/>
      <c r="BG47" s="127"/>
      <c r="BH47" s="127"/>
      <c r="BI47" s="125">
        <v>52.13</v>
      </c>
      <c r="BJ47" s="125">
        <v>57.46</v>
      </c>
      <c r="BK47" s="127"/>
      <c r="BL47" s="127"/>
      <c r="BM47" s="127"/>
      <c r="BN47" s="127"/>
      <c r="BO47" s="127"/>
      <c r="BP47" s="127"/>
      <c r="BQ47" s="127"/>
      <c r="BR47" s="125">
        <v>3299.63</v>
      </c>
      <c r="BS47" s="125">
        <v>2474.23</v>
      </c>
      <c r="BT47" s="127"/>
      <c r="BU47" s="127"/>
      <c r="BV47" s="127"/>
      <c r="BW47" s="127"/>
      <c r="BX47" s="127"/>
      <c r="BY47" s="127"/>
      <c r="BZ47" s="127"/>
      <c r="CA47" s="9">
        <v>39</v>
      </c>
      <c r="CB47" s="7">
        <v>43468</v>
      </c>
      <c r="CC47" s="9">
        <f t="shared" si="23"/>
        <v>-1</v>
      </c>
      <c r="CD47" s="9">
        <v>38</v>
      </c>
      <c r="CE47" s="137">
        <v>43497</v>
      </c>
      <c r="CF47" s="128">
        <f t="shared" si="24"/>
        <v>1</v>
      </c>
      <c r="CG47" s="128">
        <f t="shared" si="20"/>
        <v>11</v>
      </c>
      <c r="CH47" s="8">
        <v>38</v>
      </c>
      <c r="CI47" s="5">
        <v>43497</v>
      </c>
      <c r="CJ47" s="18">
        <v>0</v>
      </c>
      <c r="CK47" s="8">
        <v>37</v>
      </c>
      <c r="CL47" s="5">
        <v>43523</v>
      </c>
      <c r="CM47" s="21">
        <v>1</v>
      </c>
      <c r="CN47" s="41">
        <v>20</v>
      </c>
      <c r="CO47" s="42">
        <v>43842</v>
      </c>
      <c r="CP47" s="23">
        <v>11</v>
      </c>
      <c r="CQ47" s="59"/>
      <c r="CR47" s="60"/>
      <c r="CS47" s="29"/>
      <c r="CT47" s="43"/>
      <c r="CU47" s="44"/>
      <c r="CV47" s="45"/>
      <c r="CW47" s="12"/>
      <c r="CX47" s="11"/>
      <c r="CY47" s="12"/>
      <c r="CZ47" s="127">
        <f t="shared" si="25"/>
        <v>0.7142857142857143</v>
      </c>
      <c r="DA47" s="127">
        <f t="shared" si="26"/>
        <v>0.7142857142857143</v>
      </c>
      <c r="DB47" s="127">
        <f t="shared" si="27"/>
        <v>1</v>
      </c>
      <c r="DC47" s="127">
        <f t="shared" si="21"/>
        <v>1.6363636363636365</v>
      </c>
      <c r="DD47" s="127">
        <f t="shared" si="28"/>
        <v>1.6363636363636365</v>
      </c>
      <c r="DE47" s="9">
        <f t="shared" si="29"/>
        <v>11</v>
      </c>
      <c r="DF47" s="127">
        <f t="shared" si="30"/>
        <v>1.5833333333333333</v>
      </c>
      <c r="DG47" s="9">
        <f t="shared" si="31"/>
        <v>12</v>
      </c>
      <c r="DH47" s="129">
        <f t="shared" si="32"/>
        <v>0.63636363636363646</v>
      </c>
      <c r="DI47" s="130">
        <f t="shared" si="22"/>
        <v>0.63636363636363646</v>
      </c>
      <c r="DJ47" s="129">
        <f t="shared" si="33"/>
        <v>0.86904761904761896</v>
      </c>
      <c r="DK47" s="9"/>
      <c r="DL47" s="7"/>
      <c r="DM47" s="9"/>
      <c r="DN47" s="7"/>
      <c r="DO47" s="9">
        <f t="shared" si="34"/>
        <v>13</v>
      </c>
      <c r="DP47" s="114">
        <f t="shared" si="35"/>
        <v>14</v>
      </c>
      <c r="DQ47" s="114">
        <f t="shared" si="36"/>
        <v>1</v>
      </c>
      <c r="DR47" s="131">
        <v>1</v>
      </c>
      <c r="DS47" s="145"/>
      <c r="DT47" s="145"/>
      <c r="DU47" s="145"/>
      <c r="DV47" s="145"/>
      <c r="DW47" s="145"/>
      <c r="DX47" s="145"/>
      <c r="DY47" s="145"/>
      <c r="DZ47" s="145"/>
      <c r="EA47" s="145"/>
      <c r="EB47" s="145"/>
      <c r="EC47" s="145"/>
      <c r="ED47" s="145"/>
      <c r="EE47" s="145"/>
      <c r="EF47" s="136"/>
    </row>
    <row r="48" spans="1:136">
      <c r="A48" s="112">
        <v>1874</v>
      </c>
      <c r="B48" s="153" t="s">
        <v>37</v>
      </c>
      <c r="C48" s="146">
        <v>2650883</v>
      </c>
      <c r="D48" s="112" t="s">
        <v>359</v>
      </c>
      <c r="E48" s="111">
        <v>126</v>
      </c>
      <c r="F48" s="112" t="s">
        <v>318</v>
      </c>
      <c r="G48" s="112"/>
      <c r="H48" s="112" t="s">
        <v>319</v>
      </c>
      <c r="I48" s="112"/>
      <c r="J48" s="113">
        <v>42685</v>
      </c>
      <c r="K48" s="114">
        <v>47</v>
      </c>
      <c r="L48" s="112">
        <v>4</v>
      </c>
      <c r="M48" s="113">
        <v>42552</v>
      </c>
      <c r="N48" s="112">
        <v>2</v>
      </c>
      <c r="O48" s="137">
        <v>42811</v>
      </c>
      <c r="P48" s="5">
        <v>42837</v>
      </c>
      <c r="Q48" s="179"/>
      <c r="R48" s="112"/>
      <c r="S48" s="112"/>
      <c r="T48" s="112"/>
      <c r="U48" s="112"/>
      <c r="V48" s="112"/>
      <c r="W48" s="112"/>
      <c r="X48" s="112"/>
      <c r="Y48" s="140" t="s">
        <v>131</v>
      </c>
      <c r="Z48" s="140" t="s">
        <v>132</v>
      </c>
      <c r="AA48" s="7"/>
      <c r="AB48" s="7"/>
      <c r="AC48" s="7"/>
      <c r="AD48" s="7"/>
      <c r="AE48" s="7"/>
      <c r="AF48" s="7"/>
      <c r="AG48" s="7"/>
      <c r="AH48" s="121">
        <v>1</v>
      </c>
      <c r="AI48" s="124"/>
      <c r="AJ48" s="124"/>
      <c r="AK48" s="124"/>
      <c r="AL48" s="124"/>
      <c r="AM48" s="124"/>
      <c r="AN48" s="124"/>
      <c r="AO48" s="124"/>
      <c r="AP48" s="124"/>
      <c r="AQ48" s="125">
        <v>1004.29</v>
      </c>
      <c r="AR48" s="125">
        <v>1698.83</v>
      </c>
      <c r="AS48" s="126"/>
      <c r="AT48" s="126"/>
      <c r="AU48" s="127"/>
      <c r="AV48" s="127"/>
      <c r="AW48" s="127"/>
      <c r="AX48" s="127"/>
      <c r="AY48" s="127"/>
      <c r="AZ48" s="125">
        <v>1.18</v>
      </c>
      <c r="BA48" s="125">
        <v>1.63</v>
      </c>
      <c r="BB48" s="127"/>
      <c r="BC48" s="127"/>
      <c r="BD48" s="127"/>
      <c r="BE48" s="127"/>
      <c r="BF48" s="127"/>
      <c r="BG48" s="127"/>
      <c r="BH48" s="127"/>
      <c r="BI48" s="125">
        <v>50.42</v>
      </c>
      <c r="BJ48" s="125">
        <v>60.94</v>
      </c>
      <c r="BK48" s="127"/>
      <c r="BL48" s="127"/>
      <c r="BM48" s="127"/>
      <c r="BN48" s="127"/>
      <c r="BO48" s="127"/>
      <c r="BP48" s="127"/>
      <c r="BQ48" s="127"/>
      <c r="BR48" s="125">
        <v>870.41</v>
      </c>
      <c r="BS48" s="125">
        <v>298.57</v>
      </c>
      <c r="BT48" s="127"/>
      <c r="BU48" s="127"/>
      <c r="BV48" s="127"/>
      <c r="BW48" s="127"/>
      <c r="BX48" s="127"/>
      <c r="BY48" s="127"/>
      <c r="BZ48" s="127"/>
      <c r="CA48" s="9">
        <v>47</v>
      </c>
      <c r="CB48" s="7">
        <v>42685</v>
      </c>
      <c r="CC48" s="9">
        <f t="shared" si="23"/>
        <v>-4</v>
      </c>
      <c r="CD48" s="9">
        <v>47</v>
      </c>
      <c r="CE48" s="137">
        <v>42811</v>
      </c>
      <c r="CF48" s="128">
        <f t="shared" si="24"/>
        <v>4</v>
      </c>
      <c r="CG48" s="128">
        <f t="shared" si="20"/>
        <v>6</v>
      </c>
      <c r="CH48" s="39">
        <v>47</v>
      </c>
      <c r="CI48" s="40">
        <v>42811</v>
      </c>
      <c r="CJ48" s="18">
        <v>0</v>
      </c>
      <c r="CK48" s="39">
        <v>47</v>
      </c>
      <c r="CL48" s="40">
        <v>42926</v>
      </c>
      <c r="CM48" s="21">
        <v>4</v>
      </c>
      <c r="CN48" s="41">
        <v>43</v>
      </c>
      <c r="CO48" s="42">
        <v>42982</v>
      </c>
      <c r="CP48" s="23">
        <v>6</v>
      </c>
      <c r="CQ48" s="43">
        <v>39</v>
      </c>
      <c r="CR48" s="44">
        <v>43157</v>
      </c>
      <c r="CS48" s="45">
        <v>11</v>
      </c>
      <c r="CT48" s="9">
        <v>19</v>
      </c>
      <c r="CU48" s="7">
        <v>43815</v>
      </c>
      <c r="CV48" s="9">
        <v>33</v>
      </c>
      <c r="CW48" s="61"/>
      <c r="CX48" s="61"/>
      <c r="CY48" s="62"/>
      <c r="CZ48" s="127">
        <f t="shared" si="25"/>
        <v>0.125</v>
      </c>
      <c r="DA48" s="127">
        <f t="shared" si="26"/>
        <v>0.125</v>
      </c>
      <c r="DB48" s="127">
        <f t="shared" si="27"/>
        <v>0</v>
      </c>
      <c r="DC48" s="127">
        <f t="shared" si="21"/>
        <v>0.66666666666666663</v>
      </c>
      <c r="DD48" s="127">
        <f t="shared" si="28"/>
        <v>0.84848484848484851</v>
      </c>
      <c r="DE48" s="9">
        <f t="shared" si="29"/>
        <v>33</v>
      </c>
      <c r="DF48" s="127">
        <f t="shared" si="30"/>
        <v>0.7567567567567568</v>
      </c>
      <c r="DG48" s="9">
        <f t="shared" si="31"/>
        <v>37</v>
      </c>
      <c r="DH48" s="129">
        <f t="shared" si="32"/>
        <v>0.84848484848484851</v>
      </c>
      <c r="DI48" s="130">
        <f t="shared" si="22"/>
        <v>0.66666666666666663</v>
      </c>
      <c r="DJ48" s="129">
        <f t="shared" si="33"/>
        <v>0.6317567567567568</v>
      </c>
      <c r="DK48" s="9"/>
      <c r="DL48" s="7"/>
      <c r="DM48" s="9"/>
      <c r="DN48" s="7"/>
      <c r="DO48" s="9">
        <f t="shared" si="34"/>
        <v>4</v>
      </c>
      <c r="DP48" s="114">
        <f t="shared" si="35"/>
        <v>8</v>
      </c>
      <c r="DQ48" s="114">
        <f t="shared" si="36"/>
        <v>4</v>
      </c>
      <c r="DR48" s="131">
        <v>1</v>
      </c>
      <c r="DS48" s="145"/>
      <c r="DT48" s="145"/>
      <c r="DU48" s="145"/>
      <c r="DV48" s="145"/>
      <c r="DW48" s="145"/>
      <c r="DX48" s="145"/>
      <c r="DY48" s="145"/>
      <c r="DZ48" s="145"/>
      <c r="EA48" s="145"/>
      <c r="EB48" s="145"/>
      <c r="EC48" s="145"/>
      <c r="ED48" s="145"/>
      <c r="EE48" s="145"/>
      <c r="EF48" s="136"/>
    </row>
    <row r="49" spans="1:136">
      <c r="A49" s="112">
        <v>1533</v>
      </c>
      <c r="B49" s="153" t="s">
        <v>38</v>
      </c>
      <c r="C49" s="146">
        <v>2586711</v>
      </c>
      <c r="D49" s="112" t="s">
        <v>360</v>
      </c>
      <c r="E49" s="111">
        <v>99</v>
      </c>
      <c r="F49" s="112" t="s">
        <v>318</v>
      </c>
      <c r="G49" s="112"/>
      <c r="H49" s="112" t="s">
        <v>319</v>
      </c>
      <c r="I49" s="112"/>
      <c r="J49" s="113">
        <v>42167</v>
      </c>
      <c r="K49" s="114">
        <v>47</v>
      </c>
      <c r="L49" s="112">
        <v>8</v>
      </c>
      <c r="M49" s="113">
        <v>41791</v>
      </c>
      <c r="N49" s="112">
        <v>2</v>
      </c>
      <c r="O49" s="137">
        <v>42440</v>
      </c>
      <c r="P49" s="5">
        <v>42466</v>
      </c>
      <c r="Q49" s="179"/>
      <c r="R49" s="112"/>
      <c r="S49" s="112"/>
      <c r="T49" s="112"/>
      <c r="U49" s="112"/>
      <c r="V49" s="112"/>
      <c r="W49" s="112"/>
      <c r="X49" s="112"/>
      <c r="Y49" s="140" t="s">
        <v>133</v>
      </c>
      <c r="Z49" s="140" t="s">
        <v>134</v>
      </c>
      <c r="AA49" s="7"/>
      <c r="AB49" s="7"/>
      <c r="AC49" s="7"/>
      <c r="AD49" s="7"/>
      <c r="AE49" s="7"/>
      <c r="AF49" s="7"/>
      <c r="AG49" s="7"/>
      <c r="AH49" s="121">
        <v>1</v>
      </c>
      <c r="AI49" s="124"/>
      <c r="AJ49" s="124"/>
      <c r="AK49" s="124"/>
      <c r="AL49" s="124"/>
      <c r="AM49" s="124"/>
      <c r="AN49" s="121"/>
      <c r="AO49" s="121"/>
      <c r="AP49" s="121"/>
      <c r="AQ49" s="125">
        <v>951.0200000000001</v>
      </c>
      <c r="AR49" s="125">
        <v>1959.36</v>
      </c>
      <c r="AS49" s="126"/>
      <c r="AT49" s="126"/>
      <c r="AU49" s="127"/>
      <c r="AV49" s="127"/>
      <c r="AW49" s="127"/>
      <c r="AX49" s="127"/>
      <c r="AY49" s="127"/>
      <c r="AZ49" s="125">
        <v>1.33</v>
      </c>
      <c r="BA49" s="125">
        <v>4.93</v>
      </c>
      <c r="BB49" s="127"/>
      <c r="BC49" s="127"/>
      <c r="BD49" s="127"/>
      <c r="BE49" s="127"/>
      <c r="BF49" s="127"/>
      <c r="BG49" s="127"/>
      <c r="BH49" s="127"/>
      <c r="BI49" s="125">
        <v>34.5</v>
      </c>
      <c r="BJ49" s="125">
        <v>46.13</v>
      </c>
      <c r="BK49" s="127"/>
      <c r="BL49" s="127"/>
      <c r="BM49" s="127"/>
      <c r="BN49" s="127"/>
      <c r="BO49" s="127"/>
      <c r="BP49" s="127"/>
      <c r="BQ49" s="127"/>
      <c r="BR49" s="125">
        <v>470.5</v>
      </c>
      <c r="BS49" s="125">
        <v>347.96</v>
      </c>
      <c r="BT49" s="127"/>
      <c r="BU49" s="127"/>
      <c r="BV49" s="127"/>
      <c r="BW49" s="127"/>
      <c r="BX49" s="127"/>
      <c r="BY49" s="127"/>
      <c r="BZ49" s="127"/>
      <c r="CA49" s="9">
        <v>47</v>
      </c>
      <c r="CB49" s="7">
        <v>42167</v>
      </c>
      <c r="CC49" s="9">
        <f t="shared" si="23"/>
        <v>-9</v>
      </c>
      <c r="CD49" s="9">
        <v>42</v>
      </c>
      <c r="CE49" s="137">
        <v>42440</v>
      </c>
      <c r="CF49" s="128">
        <f t="shared" si="24"/>
        <v>4</v>
      </c>
      <c r="CG49" s="128">
        <f t="shared" si="20"/>
        <v>6</v>
      </c>
      <c r="CH49" s="39">
        <v>42</v>
      </c>
      <c r="CI49" s="40">
        <v>42440</v>
      </c>
      <c r="CJ49" s="18">
        <v>0</v>
      </c>
      <c r="CK49" s="39">
        <v>39</v>
      </c>
      <c r="CL49" s="40">
        <v>42548</v>
      </c>
      <c r="CM49" s="21">
        <v>4</v>
      </c>
      <c r="CN49" s="41">
        <v>34</v>
      </c>
      <c r="CO49" s="42">
        <v>42611</v>
      </c>
      <c r="CP49" s="23">
        <v>6</v>
      </c>
      <c r="CQ49" s="43">
        <v>28</v>
      </c>
      <c r="CR49" s="44">
        <v>42786</v>
      </c>
      <c r="CS49" s="45">
        <v>11</v>
      </c>
      <c r="CT49" s="59">
        <v>23</v>
      </c>
      <c r="CU49" s="60">
        <v>43133</v>
      </c>
      <c r="CV49" s="29">
        <v>23</v>
      </c>
      <c r="CW49" s="12">
        <v>21</v>
      </c>
      <c r="CX49" s="11">
        <v>43416</v>
      </c>
      <c r="CY49" s="12">
        <v>32</v>
      </c>
      <c r="CZ49" s="127">
        <f t="shared" si="25"/>
        <v>0.2857142857142857</v>
      </c>
      <c r="DA49" s="127">
        <f t="shared" si="26"/>
        <v>0.2857142857142857</v>
      </c>
      <c r="DB49" s="127">
        <f t="shared" si="27"/>
        <v>0.55555555555555558</v>
      </c>
      <c r="DC49" s="127">
        <f t="shared" si="21"/>
        <v>1.3333333333333333</v>
      </c>
      <c r="DD49" s="127">
        <f t="shared" si="28"/>
        <v>0.65625</v>
      </c>
      <c r="DE49" s="9">
        <f t="shared" si="29"/>
        <v>32</v>
      </c>
      <c r="DF49" s="127">
        <f t="shared" si="30"/>
        <v>0.63414634146341464</v>
      </c>
      <c r="DG49" s="9">
        <f t="shared" si="31"/>
        <v>41</v>
      </c>
      <c r="DH49" s="129">
        <f t="shared" si="32"/>
        <v>0.10069444444444442</v>
      </c>
      <c r="DI49" s="130">
        <f t="shared" si="22"/>
        <v>0.77777777777777768</v>
      </c>
      <c r="DJ49" s="129">
        <f t="shared" si="33"/>
        <v>0.34843205574912894</v>
      </c>
      <c r="DK49" s="9"/>
      <c r="DL49" s="7"/>
      <c r="DM49" s="9"/>
      <c r="DN49" s="7"/>
      <c r="DO49" s="9">
        <f t="shared" si="34"/>
        <v>12</v>
      </c>
      <c r="DP49" s="114">
        <f t="shared" si="35"/>
        <v>21</v>
      </c>
      <c r="DQ49" s="114">
        <f t="shared" si="36"/>
        <v>9</v>
      </c>
      <c r="DR49" s="131">
        <v>1</v>
      </c>
      <c r="DS49" s="145"/>
      <c r="DT49" s="145"/>
      <c r="DU49" s="145"/>
      <c r="DV49" s="145"/>
      <c r="DW49" s="145"/>
      <c r="DX49" s="145"/>
      <c r="DY49" s="145"/>
      <c r="DZ49" s="145"/>
      <c r="EA49" s="145"/>
      <c r="EB49" s="145"/>
      <c r="EC49" s="145"/>
      <c r="ED49" s="145"/>
      <c r="EE49" s="145"/>
      <c r="EF49" s="136"/>
    </row>
    <row r="50" spans="1:136">
      <c r="A50" s="112">
        <v>1517</v>
      </c>
      <c r="B50" s="108" t="s">
        <v>39</v>
      </c>
      <c r="C50" s="146">
        <v>2581434</v>
      </c>
      <c r="D50" s="115" t="s">
        <v>361</v>
      </c>
      <c r="E50" s="111">
        <v>86</v>
      </c>
      <c r="F50" s="112" t="s">
        <v>318</v>
      </c>
      <c r="G50" s="112"/>
      <c r="H50" s="112" t="s">
        <v>319</v>
      </c>
      <c r="I50" s="112"/>
      <c r="J50" s="113">
        <v>42135</v>
      </c>
      <c r="K50" s="114">
        <v>46</v>
      </c>
      <c r="L50" s="112">
        <v>5</v>
      </c>
      <c r="M50" s="113">
        <v>42005</v>
      </c>
      <c r="N50" s="112">
        <v>2</v>
      </c>
      <c r="O50" s="137">
        <v>42300</v>
      </c>
      <c r="P50" s="5">
        <v>42326</v>
      </c>
      <c r="Q50" s="179"/>
      <c r="R50" s="112"/>
      <c r="S50" s="112"/>
      <c r="T50" s="112"/>
      <c r="U50" s="112"/>
      <c r="V50" s="112"/>
      <c r="W50" s="112"/>
      <c r="X50" s="112"/>
      <c r="Y50" s="140" t="s">
        <v>135</v>
      </c>
      <c r="Z50" s="140" t="s">
        <v>136</v>
      </c>
      <c r="AA50" s="7"/>
      <c r="AB50" s="7"/>
      <c r="AC50" s="7"/>
      <c r="AD50" s="7"/>
      <c r="AE50" s="7"/>
      <c r="AF50" s="7"/>
      <c r="AG50" s="7"/>
      <c r="AH50" s="121">
        <v>1</v>
      </c>
      <c r="AI50" s="124"/>
      <c r="AJ50" s="121"/>
      <c r="AK50" s="124"/>
      <c r="AL50" s="124"/>
      <c r="AM50" s="124"/>
      <c r="AN50" s="121"/>
      <c r="AO50" s="121"/>
      <c r="AP50" s="121"/>
      <c r="AQ50" s="125">
        <v>1251.32</v>
      </c>
      <c r="AR50" s="125">
        <v>3881.36</v>
      </c>
      <c r="AS50" s="126"/>
      <c r="AT50" s="126"/>
      <c r="AU50" s="127"/>
      <c r="AV50" s="127"/>
      <c r="AW50" s="127"/>
      <c r="AX50" s="127"/>
      <c r="AY50" s="127"/>
      <c r="AZ50" s="125">
        <v>2.38</v>
      </c>
      <c r="BA50" s="125">
        <v>5.98</v>
      </c>
      <c r="BB50" s="127"/>
      <c r="BC50" s="127"/>
      <c r="BD50" s="127"/>
      <c r="BE50" s="127"/>
      <c r="BF50" s="127"/>
      <c r="BG50" s="127"/>
      <c r="BH50" s="127"/>
      <c r="BI50" s="125">
        <v>59.7</v>
      </c>
      <c r="BJ50" s="125">
        <v>105.92</v>
      </c>
      <c r="BK50" s="127"/>
      <c r="BL50" s="127"/>
      <c r="BM50" s="127"/>
      <c r="BN50" s="127"/>
      <c r="BO50" s="127"/>
      <c r="BP50" s="127"/>
      <c r="BQ50" s="127"/>
      <c r="BR50" s="125">
        <v>1111.79</v>
      </c>
      <c r="BS50" s="125">
        <v>979.16</v>
      </c>
      <c r="BT50" s="127"/>
      <c r="BU50" s="127"/>
      <c r="BV50" s="127"/>
      <c r="BW50" s="127"/>
      <c r="BX50" s="127"/>
      <c r="BY50" s="127"/>
      <c r="BZ50" s="127"/>
      <c r="CA50" s="9">
        <v>46</v>
      </c>
      <c r="CB50" s="7">
        <v>42135</v>
      </c>
      <c r="CC50" s="9">
        <f t="shared" si="23"/>
        <v>-5</v>
      </c>
      <c r="CD50" s="9">
        <v>42</v>
      </c>
      <c r="CE50" s="137">
        <v>42300</v>
      </c>
      <c r="CF50" s="128">
        <f t="shared" si="24"/>
        <v>6</v>
      </c>
      <c r="CG50" s="128">
        <f t="shared" si="20"/>
        <v>12</v>
      </c>
      <c r="CH50" s="39">
        <v>42</v>
      </c>
      <c r="CI50" s="40">
        <v>42300</v>
      </c>
      <c r="CJ50" s="18">
        <v>0</v>
      </c>
      <c r="CK50" s="41">
        <v>33</v>
      </c>
      <c r="CL50" s="42">
        <v>42485</v>
      </c>
      <c r="CM50" s="23">
        <v>6</v>
      </c>
      <c r="CN50" s="39">
        <v>22</v>
      </c>
      <c r="CO50" s="46">
        <v>42660</v>
      </c>
      <c r="CP50" s="24">
        <v>12</v>
      </c>
      <c r="CQ50" s="34"/>
      <c r="CR50" s="34"/>
      <c r="CS50" s="36"/>
      <c r="CT50" s="9"/>
      <c r="CU50" s="7"/>
      <c r="CV50" s="9"/>
      <c r="CW50" s="61"/>
      <c r="CX50" s="61"/>
      <c r="CY50" s="62"/>
      <c r="CZ50" s="127">
        <f t="shared" si="25"/>
        <v>0.6</v>
      </c>
      <c r="DA50" s="127">
        <f t="shared" si="26"/>
        <v>0.6</v>
      </c>
      <c r="DB50" s="127">
        <f t="shared" si="27"/>
        <v>0.8</v>
      </c>
      <c r="DC50" s="127">
        <f t="shared" si="21"/>
        <v>1.6666666666666667</v>
      </c>
      <c r="DD50" s="127">
        <f t="shared" si="28"/>
        <v>1.6666666666666667</v>
      </c>
      <c r="DE50" s="9">
        <f t="shared" si="29"/>
        <v>12</v>
      </c>
      <c r="DF50" s="127">
        <f t="shared" si="30"/>
        <v>1.411764705882353</v>
      </c>
      <c r="DG50" s="9">
        <f t="shared" si="31"/>
        <v>17</v>
      </c>
      <c r="DH50" s="129">
        <f t="shared" si="32"/>
        <v>0.8666666666666667</v>
      </c>
      <c r="DI50" s="130">
        <f t="shared" si="22"/>
        <v>0.8666666666666667</v>
      </c>
      <c r="DJ50" s="129">
        <f t="shared" si="33"/>
        <v>0.81176470588235305</v>
      </c>
      <c r="DK50" s="9"/>
      <c r="DL50" s="7"/>
      <c r="DM50" s="9"/>
      <c r="DN50" s="7"/>
      <c r="DO50" s="9">
        <f t="shared" si="34"/>
        <v>4</v>
      </c>
      <c r="DP50" s="114">
        <f t="shared" si="35"/>
        <v>10</v>
      </c>
      <c r="DQ50" s="114">
        <f t="shared" si="36"/>
        <v>5</v>
      </c>
      <c r="DR50" s="131">
        <v>1</v>
      </c>
      <c r="DS50" s="145"/>
      <c r="DT50" s="145"/>
      <c r="DU50" s="145"/>
      <c r="DV50" s="145"/>
      <c r="DW50" s="145"/>
      <c r="DX50" s="145"/>
      <c r="DY50" s="145"/>
      <c r="DZ50" s="145"/>
      <c r="EA50" s="145"/>
      <c r="EB50" s="145"/>
      <c r="EC50" s="145"/>
      <c r="ED50" s="145"/>
      <c r="EE50" s="145"/>
      <c r="EF50" s="156"/>
    </row>
    <row r="51" spans="1:136">
      <c r="A51" s="112">
        <v>1552</v>
      </c>
      <c r="B51" s="142" t="s">
        <v>40</v>
      </c>
      <c r="C51" s="146">
        <v>2588934</v>
      </c>
      <c r="D51" s="112" t="s">
        <v>362</v>
      </c>
      <c r="E51" s="111">
        <v>94</v>
      </c>
      <c r="F51" s="112" t="s">
        <v>318</v>
      </c>
      <c r="G51" s="112"/>
      <c r="H51" s="112" t="s">
        <v>319</v>
      </c>
      <c r="I51" s="112"/>
      <c r="J51" s="113">
        <v>42187</v>
      </c>
      <c r="K51" s="114">
        <v>42</v>
      </c>
      <c r="L51" s="112">
        <v>5</v>
      </c>
      <c r="M51" s="113">
        <v>41974</v>
      </c>
      <c r="N51" s="112">
        <v>2</v>
      </c>
      <c r="O51" s="137">
        <v>42342</v>
      </c>
      <c r="P51" s="5">
        <v>42368</v>
      </c>
      <c r="Q51" s="179"/>
      <c r="R51" s="112"/>
      <c r="S51" s="112"/>
      <c r="T51" s="112"/>
      <c r="U51" s="112"/>
      <c r="V51" s="112"/>
      <c r="W51" s="112"/>
      <c r="X51" s="112"/>
      <c r="Y51" s="140" t="s">
        <v>137</v>
      </c>
      <c r="Z51" s="140" t="s">
        <v>138</v>
      </c>
      <c r="AA51" s="7"/>
      <c r="AB51" s="7"/>
      <c r="AC51" s="7"/>
      <c r="AD51" s="7"/>
      <c r="AE51" s="7"/>
      <c r="AF51" s="7"/>
      <c r="AG51" s="7"/>
      <c r="AH51" s="121">
        <v>1</v>
      </c>
      <c r="AI51" s="124"/>
      <c r="AJ51" s="124"/>
      <c r="AK51" s="121"/>
      <c r="AL51" s="121"/>
      <c r="AM51" s="121"/>
      <c r="AN51" s="121"/>
      <c r="AO51" s="121"/>
      <c r="AP51" s="121"/>
      <c r="AQ51" s="125">
        <v>765.1</v>
      </c>
      <c r="AR51" s="125">
        <v>1138.6199999999999</v>
      </c>
      <c r="AS51" s="126"/>
      <c r="AT51" s="126"/>
      <c r="AU51" s="127"/>
      <c r="AV51" s="127"/>
      <c r="AW51" s="127"/>
      <c r="AX51" s="127"/>
      <c r="AY51" s="127"/>
      <c r="AZ51" s="125">
        <v>1.63</v>
      </c>
      <c r="BA51" s="125">
        <v>2.23</v>
      </c>
      <c r="BB51" s="127"/>
      <c r="BC51" s="127"/>
      <c r="BD51" s="127"/>
      <c r="BE51" s="127"/>
      <c r="BF51" s="127"/>
      <c r="BG51" s="127"/>
      <c r="BH51" s="127"/>
      <c r="BI51" s="125">
        <v>37.61</v>
      </c>
      <c r="BJ51" s="125">
        <v>42.26</v>
      </c>
      <c r="BK51" s="127"/>
      <c r="BL51" s="127"/>
      <c r="BM51" s="127"/>
      <c r="BN51" s="127"/>
      <c r="BO51" s="127"/>
      <c r="BP51" s="127"/>
      <c r="BQ51" s="127"/>
      <c r="BR51" s="125">
        <v>810.4</v>
      </c>
      <c r="BS51" s="125">
        <v>927.24</v>
      </c>
      <c r="BT51" s="127"/>
      <c r="BU51" s="127"/>
      <c r="BV51" s="127"/>
      <c r="BW51" s="127"/>
      <c r="BX51" s="127"/>
      <c r="BY51" s="127"/>
      <c r="BZ51" s="127"/>
      <c r="CA51" s="9">
        <v>42</v>
      </c>
      <c r="CB51" s="7">
        <v>42187</v>
      </c>
      <c r="CC51" s="9">
        <f t="shared" si="23"/>
        <v>-5</v>
      </c>
      <c r="CD51" s="9">
        <v>38</v>
      </c>
      <c r="CE51" s="137">
        <v>42342</v>
      </c>
      <c r="CF51" s="128">
        <f t="shared" si="24"/>
        <v>4</v>
      </c>
      <c r="CG51" s="128">
        <f t="shared" si="20"/>
        <v>6</v>
      </c>
      <c r="CH51" s="39">
        <v>38</v>
      </c>
      <c r="CI51" s="40">
        <v>42342</v>
      </c>
      <c r="CJ51" s="18">
        <v>0</v>
      </c>
      <c r="CK51" s="39">
        <v>30</v>
      </c>
      <c r="CL51" s="40">
        <v>42457</v>
      </c>
      <c r="CM51" s="21">
        <v>4</v>
      </c>
      <c r="CN51" s="41">
        <v>28</v>
      </c>
      <c r="CO51" s="42">
        <v>42513</v>
      </c>
      <c r="CP51" s="23">
        <v>6</v>
      </c>
      <c r="CQ51" s="39">
        <v>23</v>
      </c>
      <c r="CR51" s="46">
        <v>42730</v>
      </c>
      <c r="CS51" s="24">
        <v>13</v>
      </c>
      <c r="CT51" s="39">
        <v>18</v>
      </c>
      <c r="CU51" s="46">
        <v>43087</v>
      </c>
      <c r="CV51" s="29">
        <v>24</v>
      </c>
      <c r="CW51" s="9"/>
      <c r="CX51" s="7"/>
      <c r="CY51" s="9"/>
      <c r="CZ51" s="127">
        <f t="shared" si="25"/>
        <v>0.83333333333333337</v>
      </c>
      <c r="DA51" s="127">
        <f t="shared" si="26"/>
        <v>0.83333333333333337</v>
      </c>
      <c r="DB51" s="127">
        <f t="shared" si="27"/>
        <v>0.8</v>
      </c>
      <c r="DC51" s="127">
        <f t="shared" si="21"/>
        <v>1.6666666666666667</v>
      </c>
      <c r="DD51" s="127">
        <f t="shared" si="28"/>
        <v>0.83333333333333337</v>
      </c>
      <c r="DE51" s="9">
        <f t="shared" si="29"/>
        <v>24</v>
      </c>
      <c r="DF51" s="127">
        <f t="shared" si="30"/>
        <v>0.8</v>
      </c>
      <c r="DG51" s="9">
        <f t="shared" si="31"/>
        <v>30</v>
      </c>
      <c r="DH51" s="129">
        <f t="shared" si="32"/>
        <v>3.3333333333333326E-2</v>
      </c>
      <c r="DI51" s="130">
        <f t="shared" si="22"/>
        <v>0.8666666666666667</v>
      </c>
      <c r="DJ51" s="129">
        <f t="shared" si="33"/>
        <v>-3.3333333333333326E-2</v>
      </c>
      <c r="DK51" s="9"/>
      <c r="DL51" s="7"/>
      <c r="DM51" s="9"/>
      <c r="DN51" s="7"/>
      <c r="DO51" s="9">
        <f t="shared" si="34"/>
        <v>7</v>
      </c>
      <c r="DP51" s="114">
        <f t="shared" si="35"/>
        <v>12</v>
      </c>
      <c r="DQ51" s="114">
        <f t="shared" si="36"/>
        <v>5</v>
      </c>
      <c r="DR51" s="131">
        <v>1</v>
      </c>
      <c r="DS51" s="145"/>
      <c r="DT51" s="145"/>
      <c r="DU51" s="145"/>
      <c r="DV51" s="145"/>
      <c r="DW51" s="145"/>
      <c r="DX51" s="145"/>
      <c r="DY51" s="145"/>
      <c r="DZ51" s="145"/>
      <c r="EA51" s="145"/>
      <c r="EB51" s="145"/>
      <c r="EC51" s="145"/>
      <c r="ED51" s="145"/>
      <c r="EE51" s="145"/>
      <c r="EF51" s="136"/>
    </row>
    <row r="52" spans="1:136">
      <c r="A52" s="112">
        <v>1306</v>
      </c>
      <c r="B52" s="153" t="s">
        <v>41</v>
      </c>
      <c r="C52" s="146">
        <v>2551149</v>
      </c>
      <c r="D52" s="115" t="s">
        <v>363</v>
      </c>
      <c r="E52" s="111">
        <v>54</v>
      </c>
      <c r="F52" s="112" t="s">
        <v>318</v>
      </c>
      <c r="G52" s="112"/>
      <c r="H52" s="112" t="s">
        <v>319</v>
      </c>
      <c r="I52" s="112"/>
      <c r="J52" s="113">
        <v>41904</v>
      </c>
      <c r="K52" s="114">
        <v>45</v>
      </c>
      <c r="L52" s="112">
        <v>9</v>
      </c>
      <c r="M52" s="113">
        <v>41730</v>
      </c>
      <c r="N52" s="112">
        <v>2</v>
      </c>
      <c r="O52" s="137">
        <v>42188</v>
      </c>
      <c r="P52" s="5">
        <v>42214</v>
      </c>
      <c r="Q52" s="179"/>
      <c r="R52" s="112"/>
      <c r="S52" s="112"/>
      <c r="T52" s="112"/>
      <c r="U52" s="112"/>
      <c r="V52" s="112"/>
      <c r="W52" s="112"/>
      <c r="X52" s="112"/>
      <c r="Y52" s="140" t="s">
        <v>139</v>
      </c>
      <c r="Z52" s="140" t="s">
        <v>140</v>
      </c>
      <c r="AA52" s="7"/>
      <c r="AB52" s="7"/>
      <c r="AC52" s="7"/>
      <c r="AD52" s="7"/>
      <c r="AE52" s="7"/>
      <c r="AF52" s="7"/>
      <c r="AG52" s="7"/>
      <c r="AH52" s="121">
        <v>1</v>
      </c>
      <c r="AI52" s="124"/>
      <c r="AJ52" s="124"/>
      <c r="AK52" s="124"/>
      <c r="AL52" s="124"/>
      <c r="AM52" s="124"/>
      <c r="AN52" s="121"/>
      <c r="AO52" s="121"/>
      <c r="AP52" s="121"/>
      <c r="AQ52" s="125">
        <v>1200.5999999999999</v>
      </c>
      <c r="AR52" s="125">
        <v>2329.6</v>
      </c>
      <c r="AS52" s="126"/>
      <c r="AT52" s="126"/>
      <c r="AU52" s="127"/>
      <c r="AV52" s="127"/>
      <c r="AW52" s="127"/>
      <c r="AX52" s="127"/>
      <c r="AY52" s="127"/>
      <c r="AZ52" s="125">
        <v>2.17</v>
      </c>
      <c r="BA52" s="125">
        <v>3.75</v>
      </c>
      <c r="BB52" s="127"/>
      <c r="BC52" s="127"/>
      <c r="BD52" s="127"/>
      <c r="BE52" s="127"/>
      <c r="BF52" s="127"/>
      <c r="BG52" s="127"/>
      <c r="BH52" s="127"/>
      <c r="BI52" s="125">
        <v>45.64</v>
      </c>
      <c r="BJ52" s="125">
        <v>114.32</v>
      </c>
      <c r="BK52" s="127"/>
      <c r="BL52" s="127"/>
      <c r="BM52" s="127"/>
      <c r="BN52" s="127"/>
      <c r="BO52" s="127"/>
      <c r="BP52" s="127"/>
      <c r="BQ52" s="127"/>
      <c r="BR52" s="125">
        <v>841.38</v>
      </c>
      <c r="BS52" s="125">
        <v>885.51</v>
      </c>
      <c r="BT52" s="127"/>
      <c r="BU52" s="127"/>
      <c r="BV52" s="127"/>
      <c r="BW52" s="127"/>
      <c r="BX52" s="127"/>
      <c r="BY52" s="127"/>
      <c r="BZ52" s="127"/>
      <c r="CA52" s="9">
        <v>45</v>
      </c>
      <c r="CB52" s="7">
        <v>41904</v>
      </c>
      <c r="CC52" s="9">
        <f t="shared" si="23"/>
        <v>-9</v>
      </c>
      <c r="CD52" s="9">
        <v>43</v>
      </c>
      <c r="CE52" s="137">
        <v>42188</v>
      </c>
      <c r="CF52" s="128">
        <f t="shared" si="24"/>
        <v>2</v>
      </c>
      <c r="CG52" s="128">
        <f t="shared" si="20"/>
        <v>6</v>
      </c>
      <c r="CH52" s="39">
        <v>43</v>
      </c>
      <c r="CI52" s="40">
        <v>42188</v>
      </c>
      <c r="CJ52" s="18">
        <v>0</v>
      </c>
      <c r="CK52" s="39">
        <v>41</v>
      </c>
      <c r="CL52" s="40">
        <v>42240</v>
      </c>
      <c r="CM52" s="21">
        <v>2</v>
      </c>
      <c r="CN52" s="41">
        <v>36</v>
      </c>
      <c r="CO52" s="42">
        <v>42366</v>
      </c>
      <c r="CP52" s="23">
        <v>6</v>
      </c>
      <c r="CQ52" s="39">
        <v>32</v>
      </c>
      <c r="CR52" s="46">
        <v>42552</v>
      </c>
      <c r="CS52" s="29">
        <v>12</v>
      </c>
      <c r="CT52" s="43">
        <v>33</v>
      </c>
      <c r="CU52" s="44">
        <v>42881</v>
      </c>
      <c r="CV52" s="45">
        <v>23</v>
      </c>
      <c r="CW52" s="9">
        <v>10</v>
      </c>
      <c r="CX52" s="7">
        <v>43248</v>
      </c>
      <c r="CY52" s="9">
        <v>35</v>
      </c>
      <c r="CZ52" s="127">
        <f t="shared" si="25"/>
        <v>0.33333333333333331</v>
      </c>
      <c r="DA52" s="127">
        <f t="shared" si="26"/>
        <v>0.33333333333333331</v>
      </c>
      <c r="DB52" s="127">
        <f t="shared" si="27"/>
        <v>0.22222222222222221</v>
      </c>
      <c r="DC52" s="127">
        <f t="shared" si="21"/>
        <v>1.1666666666666667</v>
      </c>
      <c r="DD52" s="127">
        <f t="shared" si="28"/>
        <v>0.94285714285714284</v>
      </c>
      <c r="DE52" s="9">
        <f t="shared" si="29"/>
        <v>35</v>
      </c>
      <c r="DF52" s="127">
        <f t="shared" si="30"/>
        <v>0.79545454545454541</v>
      </c>
      <c r="DG52" s="9">
        <f t="shared" si="31"/>
        <v>44</v>
      </c>
      <c r="DH52" s="129">
        <f t="shared" si="32"/>
        <v>0.72063492063492063</v>
      </c>
      <c r="DI52" s="130">
        <f t="shared" si="22"/>
        <v>0.94444444444444453</v>
      </c>
      <c r="DJ52" s="129">
        <f t="shared" si="33"/>
        <v>0.4621212121212121</v>
      </c>
      <c r="DK52" s="9"/>
      <c r="DL52" s="7"/>
      <c r="DM52" s="9"/>
      <c r="DN52" s="7"/>
      <c r="DO52" s="9">
        <f t="shared" si="34"/>
        <v>6</v>
      </c>
      <c r="DP52" s="114">
        <f t="shared" si="35"/>
        <v>15</v>
      </c>
      <c r="DQ52" s="114">
        <f t="shared" si="36"/>
        <v>9</v>
      </c>
      <c r="DR52" s="131">
        <v>1</v>
      </c>
      <c r="DS52" s="145"/>
      <c r="DT52" s="145"/>
      <c r="DU52" s="145"/>
      <c r="DV52" s="145"/>
      <c r="DW52" s="145"/>
      <c r="DX52" s="145"/>
      <c r="DY52" s="145"/>
      <c r="DZ52" s="145"/>
      <c r="EA52" s="145"/>
      <c r="EB52" s="145"/>
      <c r="EC52" s="145"/>
      <c r="ED52" s="145"/>
      <c r="EE52" s="145"/>
      <c r="EF52" s="136"/>
    </row>
    <row r="53" spans="1:136">
      <c r="A53" s="112">
        <v>1301</v>
      </c>
      <c r="B53" s="153" t="s">
        <v>42</v>
      </c>
      <c r="C53" s="146">
        <v>2549424</v>
      </c>
      <c r="D53" s="112" t="s">
        <v>364</v>
      </c>
      <c r="E53" s="111">
        <v>37</v>
      </c>
      <c r="F53" s="112" t="s">
        <v>318</v>
      </c>
      <c r="G53" s="112"/>
      <c r="H53" s="112" t="s">
        <v>319</v>
      </c>
      <c r="I53" s="112"/>
      <c r="J53" s="113">
        <v>41887</v>
      </c>
      <c r="K53" s="114">
        <v>45</v>
      </c>
      <c r="L53" s="112">
        <v>8</v>
      </c>
      <c r="M53" s="113">
        <v>41579</v>
      </c>
      <c r="N53" s="112">
        <v>2</v>
      </c>
      <c r="O53" s="137">
        <v>42159</v>
      </c>
      <c r="P53" s="5">
        <v>42185</v>
      </c>
      <c r="Q53" s="179"/>
      <c r="R53" s="112"/>
      <c r="S53" s="112"/>
      <c r="T53" s="112"/>
      <c r="U53" s="112"/>
      <c r="V53" s="112"/>
      <c r="W53" s="112"/>
      <c r="X53" s="112"/>
      <c r="Y53" s="140" t="s">
        <v>93</v>
      </c>
      <c r="Z53" s="140" t="s">
        <v>94</v>
      </c>
      <c r="AA53" s="7"/>
      <c r="AB53" s="7"/>
      <c r="AC53" s="7"/>
      <c r="AD53" s="7"/>
      <c r="AE53" s="7"/>
      <c r="AF53" s="7"/>
      <c r="AG53" s="7"/>
      <c r="AH53" s="121">
        <v>1</v>
      </c>
      <c r="AI53" s="124"/>
      <c r="AJ53" s="121"/>
      <c r="AK53" s="121"/>
      <c r="AL53" s="121"/>
      <c r="AM53" s="121"/>
      <c r="AN53" s="121"/>
      <c r="AO53" s="121"/>
      <c r="AP53" s="121"/>
      <c r="AQ53" s="125">
        <v>885</v>
      </c>
      <c r="AR53" s="125">
        <v>2557.5</v>
      </c>
      <c r="AS53" s="126"/>
      <c r="AT53" s="126"/>
      <c r="AU53" s="127"/>
      <c r="AV53" s="127"/>
      <c r="AW53" s="127"/>
      <c r="AX53" s="127"/>
      <c r="AY53" s="127"/>
      <c r="AZ53" s="125">
        <v>2.89</v>
      </c>
      <c r="BA53" s="125">
        <v>5.03</v>
      </c>
      <c r="BB53" s="127"/>
      <c r="BC53" s="127"/>
      <c r="BD53" s="127"/>
      <c r="BE53" s="127"/>
      <c r="BF53" s="127"/>
      <c r="BG53" s="127"/>
      <c r="BH53" s="127"/>
      <c r="BI53" s="125">
        <v>43.59</v>
      </c>
      <c r="BJ53" s="125">
        <v>102.62</v>
      </c>
      <c r="BK53" s="127"/>
      <c r="BL53" s="127"/>
      <c r="BM53" s="127"/>
      <c r="BN53" s="127"/>
      <c r="BO53" s="127"/>
      <c r="BP53" s="127"/>
      <c r="BQ53" s="127"/>
      <c r="BR53" s="125">
        <v>1221.46</v>
      </c>
      <c r="BS53" s="125">
        <v>856.61</v>
      </c>
      <c r="BT53" s="127"/>
      <c r="BU53" s="127"/>
      <c r="BV53" s="127"/>
      <c r="BW53" s="127"/>
      <c r="BX53" s="127"/>
      <c r="BY53" s="127"/>
      <c r="BZ53" s="127"/>
      <c r="CA53" s="9">
        <v>45</v>
      </c>
      <c r="CB53" s="7">
        <v>41887</v>
      </c>
      <c r="CC53" s="9">
        <f t="shared" si="23"/>
        <v>-9</v>
      </c>
      <c r="CD53" s="9">
        <v>39</v>
      </c>
      <c r="CE53" s="137">
        <v>42159</v>
      </c>
      <c r="CF53" s="128">
        <f t="shared" si="24"/>
        <v>4</v>
      </c>
      <c r="CG53" s="128">
        <f t="shared" si="20"/>
        <v>8</v>
      </c>
      <c r="CH53" s="39">
        <v>39</v>
      </c>
      <c r="CI53" s="40">
        <v>42159</v>
      </c>
      <c r="CJ53" s="18">
        <v>0</v>
      </c>
      <c r="CK53" s="39">
        <v>32</v>
      </c>
      <c r="CL53" s="40">
        <v>42296</v>
      </c>
      <c r="CM53" s="21">
        <v>5</v>
      </c>
      <c r="CN53" s="41">
        <v>25</v>
      </c>
      <c r="CO53" s="42">
        <v>42394</v>
      </c>
      <c r="CP53" s="23">
        <v>8</v>
      </c>
      <c r="CQ53" s="39">
        <v>20</v>
      </c>
      <c r="CR53" s="46">
        <v>42506</v>
      </c>
      <c r="CS53" s="24">
        <v>11</v>
      </c>
      <c r="CT53" s="39">
        <v>13</v>
      </c>
      <c r="CU53" s="46">
        <v>42885</v>
      </c>
      <c r="CV53" s="29">
        <v>24</v>
      </c>
      <c r="CW53" s="9">
        <v>11</v>
      </c>
      <c r="CX53" s="7">
        <v>43220</v>
      </c>
      <c r="CY53" s="9">
        <v>35</v>
      </c>
      <c r="CZ53" s="127">
        <f t="shared" si="25"/>
        <v>0.47368421052631576</v>
      </c>
      <c r="DA53" s="127">
        <f t="shared" si="26"/>
        <v>0.47368421052631576</v>
      </c>
      <c r="DB53" s="127">
        <f t="shared" si="27"/>
        <v>0.66666666666666663</v>
      </c>
      <c r="DC53" s="127">
        <f t="shared" si="21"/>
        <v>1.75</v>
      </c>
      <c r="DD53" s="127">
        <f t="shared" si="28"/>
        <v>0.8</v>
      </c>
      <c r="DE53" s="9">
        <f t="shared" si="29"/>
        <v>35</v>
      </c>
      <c r="DF53" s="127">
        <f t="shared" si="30"/>
        <v>0.77272727272727271</v>
      </c>
      <c r="DG53" s="9">
        <f t="shared" si="31"/>
        <v>44</v>
      </c>
      <c r="DH53" s="129">
        <f t="shared" si="32"/>
        <v>0.13333333333333341</v>
      </c>
      <c r="DI53" s="130">
        <f t="shared" si="22"/>
        <v>1.0833333333333335</v>
      </c>
      <c r="DJ53" s="129">
        <f t="shared" si="33"/>
        <v>0.29904306220095694</v>
      </c>
      <c r="DK53" s="9"/>
      <c r="DL53" s="7"/>
      <c r="DM53" s="9"/>
      <c r="DN53" s="7"/>
      <c r="DO53" s="9">
        <f t="shared" si="34"/>
        <v>10</v>
      </c>
      <c r="DP53" s="114">
        <f t="shared" si="35"/>
        <v>19</v>
      </c>
      <c r="DQ53" s="114">
        <f t="shared" si="36"/>
        <v>9</v>
      </c>
      <c r="DR53" s="131">
        <v>1</v>
      </c>
      <c r="DS53" s="145"/>
      <c r="DT53" s="145"/>
      <c r="DU53" s="145"/>
      <c r="DV53" s="145"/>
      <c r="DW53" s="145"/>
      <c r="DX53" s="145"/>
      <c r="DY53" s="145"/>
      <c r="DZ53" s="145"/>
      <c r="EA53" s="145"/>
      <c r="EB53" s="145"/>
      <c r="EC53" s="145"/>
      <c r="ED53" s="145"/>
      <c r="EE53" s="145"/>
      <c r="EF53" s="156"/>
    </row>
    <row r="54" spans="1:136">
      <c r="A54" s="112">
        <v>1870</v>
      </c>
      <c r="B54" s="108" t="s">
        <v>43</v>
      </c>
      <c r="C54" s="146">
        <v>2649898</v>
      </c>
      <c r="D54" s="115" t="s">
        <v>365</v>
      </c>
      <c r="E54" s="111">
        <v>121</v>
      </c>
      <c r="F54" s="112" t="s">
        <v>318</v>
      </c>
      <c r="G54" s="112"/>
      <c r="H54" s="112" t="s">
        <v>319</v>
      </c>
      <c r="I54" s="112"/>
      <c r="J54" s="113">
        <v>42677</v>
      </c>
      <c r="K54" s="114">
        <v>43</v>
      </c>
      <c r="L54" s="115">
        <v>2</v>
      </c>
      <c r="M54" s="113">
        <v>42217</v>
      </c>
      <c r="N54" s="112">
        <v>2</v>
      </c>
      <c r="O54" s="137">
        <v>42754</v>
      </c>
      <c r="P54" s="5">
        <v>42780</v>
      </c>
      <c r="Q54" s="179"/>
      <c r="R54" s="112"/>
      <c r="S54" s="112"/>
      <c r="T54" s="112"/>
      <c r="U54" s="112"/>
      <c r="V54" s="112"/>
      <c r="W54" s="112"/>
      <c r="X54" s="112"/>
      <c r="Y54" s="140" t="s">
        <v>141</v>
      </c>
      <c r="Z54" s="140" t="s">
        <v>142</v>
      </c>
      <c r="AA54" s="7"/>
      <c r="AB54" s="7"/>
      <c r="AC54" s="7"/>
      <c r="AD54" s="7"/>
      <c r="AE54" s="7"/>
      <c r="AF54" s="7"/>
      <c r="AG54" s="7"/>
      <c r="AH54" s="121">
        <v>1</v>
      </c>
      <c r="AI54" s="124"/>
      <c r="AJ54" s="121"/>
      <c r="AK54" s="121"/>
      <c r="AL54" s="121"/>
      <c r="AM54" s="121"/>
      <c r="AN54" s="121"/>
      <c r="AO54" s="121"/>
      <c r="AP54" s="121"/>
      <c r="AQ54" s="125">
        <v>819.5</v>
      </c>
      <c r="AR54" s="125">
        <v>1497.1000000000001</v>
      </c>
      <c r="AS54" s="126"/>
      <c r="AT54" s="126"/>
      <c r="AU54" s="127"/>
      <c r="AV54" s="127"/>
      <c r="AW54" s="127"/>
      <c r="AX54" s="127"/>
      <c r="AY54" s="127"/>
      <c r="AZ54" s="125">
        <v>1.44</v>
      </c>
      <c r="BA54" s="125">
        <v>2.31</v>
      </c>
      <c r="BB54" s="127"/>
      <c r="BC54" s="127"/>
      <c r="BD54" s="127"/>
      <c r="BE54" s="127"/>
      <c r="BF54" s="127"/>
      <c r="BG54" s="127"/>
      <c r="BH54" s="127"/>
      <c r="BI54" s="125">
        <v>35.380000000000003</v>
      </c>
      <c r="BJ54" s="125">
        <v>64.61</v>
      </c>
      <c r="BK54" s="127"/>
      <c r="BL54" s="127"/>
      <c r="BM54" s="127"/>
      <c r="BN54" s="127"/>
      <c r="BO54" s="127"/>
      <c r="BP54" s="127"/>
      <c r="BQ54" s="127"/>
      <c r="BR54" s="125">
        <v>767.31</v>
      </c>
      <c r="BS54" s="125">
        <v>629.1</v>
      </c>
      <c r="BT54" s="127"/>
      <c r="BU54" s="127"/>
      <c r="BV54" s="127"/>
      <c r="BW54" s="127"/>
      <c r="BX54" s="127"/>
      <c r="BY54" s="127"/>
      <c r="BZ54" s="127"/>
      <c r="CA54" s="9">
        <v>43</v>
      </c>
      <c r="CB54" s="7">
        <v>42677</v>
      </c>
      <c r="CC54" s="9">
        <f t="shared" si="23"/>
        <v>-2</v>
      </c>
      <c r="CD54" s="9">
        <v>43</v>
      </c>
      <c r="CE54" s="137">
        <v>42754</v>
      </c>
      <c r="CF54" s="128">
        <f t="shared" si="24"/>
        <v>4</v>
      </c>
      <c r="CG54" s="128">
        <f t="shared" si="20"/>
        <v>6</v>
      </c>
      <c r="CH54" s="39">
        <v>43</v>
      </c>
      <c r="CI54" s="40">
        <v>42754</v>
      </c>
      <c r="CJ54" s="18">
        <v>0</v>
      </c>
      <c r="CK54" s="39">
        <v>41</v>
      </c>
      <c r="CL54" s="40">
        <v>42870</v>
      </c>
      <c r="CM54" s="21">
        <v>4</v>
      </c>
      <c r="CN54" s="41">
        <v>35</v>
      </c>
      <c r="CO54" s="42">
        <v>42926</v>
      </c>
      <c r="CP54" s="23">
        <v>6</v>
      </c>
      <c r="CQ54" s="39">
        <v>24</v>
      </c>
      <c r="CR54" s="46">
        <v>43143</v>
      </c>
      <c r="CS54" s="24">
        <v>13</v>
      </c>
      <c r="CT54" s="39">
        <v>13</v>
      </c>
      <c r="CU54" s="46">
        <v>43530</v>
      </c>
      <c r="CV54" s="29">
        <v>25</v>
      </c>
      <c r="CW54" s="9"/>
      <c r="CX54" s="7"/>
      <c r="CY54" s="9"/>
      <c r="CZ54" s="127">
        <f t="shared" si="25"/>
        <v>0.27777777777777779</v>
      </c>
      <c r="DA54" s="127">
        <f t="shared" si="26"/>
        <v>0.27777777777777779</v>
      </c>
      <c r="DB54" s="127">
        <f t="shared" si="27"/>
        <v>0</v>
      </c>
      <c r="DC54" s="127">
        <f t="shared" si="21"/>
        <v>1.3333333333333333</v>
      </c>
      <c r="DD54" s="127">
        <f t="shared" si="28"/>
        <v>1.2</v>
      </c>
      <c r="DE54" s="9">
        <f t="shared" si="29"/>
        <v>25</v>
      </c>
      <c r="DF54" s="127">
        <f t="shared" si="30"/>
        <v>1.0714285714285714</v>
      </c>
      <c r="DG54" s="9">
        <f t="shared" si="31"/>
        <v>28</v>
      </c>
      <c r="DH54" s="129">
        <f t="shared" si="32"/>
        <v>1.2</v>
      </c>
      <c r="DI54" s="130">
        <f t="shared" si="22"/>
        <v>1.3333333333333333</v>
      </c>
      <c r="DJ54" s="129">
        <f t="shared" si="33"/>
        <v>0.79365079365079361</v>
      </c>
      <c r="DK54" s="9"/>
      <c r="DL54" s="7"/>
      <c r="DM54" s="9"/>
      <c r="DN54" s="7"/>
      <c r="DO54" s="9">
        <f t="shared" si="34"/>
        <v>15</v>
      </c>
      <c r="DP54" s="114">
        <f t="shared" si="35"/>
        <v>18</v>
      </c>
      <c r="DQ54" s="114">
        <f t="shared" si="36"/>
        <v>3</v>
      </c>
      <c r="DR54" s="131">
        <v>1</v>
      </c>
      <c r="DS54" s="145"/>
      <c r="DT54" s="145"/>
      <c r="DU54" s="145"/>
      <c r="DV54" s="145"/>
      <c r="DW54" s="145"/>
      <c r="DX54" s="145"/>
      <c r="DY54" s="145"/>
      <c r="DZ54" s="145"/>
      <c r="EA54" s="145"/>
      <c r="EB54" s="145"/>
      <c r="EC54" s="145"/>
      <c r="ED54" s="145"/>
      <c r="EE54" s="145"/>
      <c r="EF54" s="156"/>
    </row>
    <row r="55" spans="1:136">
      <c r="A55" s="112">
        <v>1356</v>
      </c>
      <c r="B55" s="153" t="s">
        <v>44</v>
      </c>
      <c r="C55" s="146">
        <v>2557200</v>
      </c>
      <c r="D55" s="112" t="s">
        <v>366</v>
      </c>
      <c r="E55" s="111">
        <v>88</v>
      </c>
      <c r="F55" s="112" t="s">
        <v>318</v>
      </c>
      <c r="G55" s="112"/>
      <c r="H55" s="112" t="s">
        <v>319</v>
      </c>
      <c r="I55" s="112"/>
      <c r="J55" s="113">
        <v>41949</v>
      </c>
      <c r="K55" s="114">
        <v>44</v>
      </c>
      <c r="L55" s="112">
        <v>11</v>
      </c>
      <c r="M55" s="113">
        <v>41760</v>
      </c>
      <c r="N55" s="112">
        <v>2</v>
      </c>
      <c r="O55" s="137">
        <v>42313</v>
      </c>
      <c r="P55" s="5">
        <v>42339</v>
      </c>
      <c r="Q55" s="179"/>
      <c r="R55" s="112"/>
      <c r="S55" s="112"/>
      <c r="T55" s="112"/>
      <c r="U55" s="112"/>
      <c r="V55" s="112"/>
      <c r="W55" s="112"/>
      <c r="X55" s="112"/>
      <c r="Y55" s="140" t="s">
        <v>143</v>
      </c>
      <c r="Z55" s="140" t="s">
        <v>144</v>
      </c>
      <c r="AA55" s="7"/>
      <c r="AB55" s="7"/>
      <c r="AC55" s="7"/>
      <c r="AD55" s="7"/>
      <c r="AE55" s="7"/>
      <c r="AF55" s="7"/>
      <c r="AG55" s="7"/>
      <c r="AH55" s="121">
        <v>1</v>
      </c>
      <c r="AI55" s="124"/>
      <c r="AJ55" s="124"/>
      <c r="AK55" s="124"/>
      <c r="AL55" s="124"/>
      <c r="AM55" s="124"/>
      <c r="AN55" s="124"/>
      <c r="AO55" s="124"/>
      <c r="AP55" s="124"/>
      <c r="AQ55" s="125">
        <v>788.19999999999993</v>
      </c>
      <c r="AR55" s="125">
        <v>1853.18</v>
      </c>
      <c r="AS55" s="126"/>
      <c r="AT55" s="126"/>
      <c r="AU55" s="127"/>
      <c r="AV55" s="127"/>
      <c r="AW55" s="127"/>
      <c r="AX55" s="127"/>
      <c r="AY55" s="127"/>
      <c r="AZ55" s="125">
        <v>1.33</v>
      </c>
      <c r="BA55" s="125">
        <v>2.23</v>
      </c>
      <c r="BB55" s="127"/>
      <c r="BC55" s="127"/>
      <c r="BD55" s="127"/>
      <c r="BE55" s="127"/>
      <c r="BF55" s="127"/>
      <c r="BG55" s="127"/>
      <c r="BH55" s="127"/>
      <c r="BI55" s="125">
        <v>38.74</v>
      </c>
      <c r="BJ55" s="125">
        <v>66.69</v>
      </c>
      <c r="BK55" s="127"/>
      <c r="BL55" s="127"/>
      <c r="BM55" s="127"/>
      <c r="BN55" s="127"/>
      <c r="BO55" s="127"/>
      <c r="BP55" s="127"/>
      <c r="BQ55" s="127"/>
      <c r="BR55" s="125">
        <v>1155.71</v>
      </c>
      <c r="BS55" s="125">
        <v>544.09</v>
      </c>
      <c r="BT55" s="127"/>
      <c r="BU55" s="127"/>
      <c r="BV55" s="127"/>
      <c r="BW55" s="127"/>
      <c r="BX55" s="127"/>
      <c r="BY55" s="127"/>
      <c r="BZ55" s="127"/>
      <c r="CA55" s="9">
        <v>44</v>
      </c>
      <c r="CB55" s="7">
        <v>41949</v>
      </c>
      <c r="CC55" s="9">
        <f t="shared" si="23"/>
        <v>-12</v>
      </c>
      <c r="CD55" s="9">
        <v>41</v>
      </c>
      <c r="CE55" s="137">
        <v>42313</v>
      </c>
      <c r="CF55" s="128">
        <f t="shared" si="24"/>
        <v>4</v>
      </c>
      <c r="CG55" s="128">
        <f t="shared" si="20"/>
        <v>5</v>
      </c>
      <c r="CH55" s="39">
        <v>41</v>
      </c>
      <c r="CI55" s="40">
        <v>42313</v>
      </c>
      <c r="CJ55" s="18">
        <v>0</v>
      </c>
      <c r="CK55" s="39">
        <v>35</v>
      </c>
      <c r="CL55" s="40">
        <v>42450</v>
      </c>
      <c r="CM55" s="21">
        <v>5</v>
      </c>
      <c r="CN55" s="41">
        <v>32</v>
      </c>
      <c r="CO55" s="42">
        <v>42478</v>
      </c>
      <c r="CP55" s="23">
        <v>5</v>
      </c>
      <c r="CQ55" s="39">
        <v>10</v>
      </c>
      <c r="CR55" s="46">
        <v>42695</v>
      </c>
      <c r="CS55" s="24">
        <v>13</v>
      </c>
      <c r="CT55" s="39">
        <v>9</v>
      </c>
      <c r="CU55" s="46">
        <v>42947</v>
      </c>
      <c r="CV55" s="29">
        <v>21</v>
      </c>
      <c r="CW55" s="9">
        <v>9</v>
      </c>
      <c r="CX55" s="7">
        <v>43195</v>
      </c>
      <c r="CY55" s="9">
        <v>29</v>
      </c>
      <c r="CZ55" s="127">
        <f t="shared" si="25"/>
        <v>0.3888888888888889</v>
      </c>
      <c r="DA55" s="127">
        <f t="shared" si="26"/>
        <v>0.3888888888888889</v>
      </c>
      <c r="DB55" s="127">
        <f t="shared" si="27"/>
        <v>0.25</v>
      </c>
      <c r="DC55" s="127">
        <f t="shared" si="21"/>
        <v>1.8</v>
      </c>
      <c r="DD55" s="127">
        <f t="shared" si="28"/>
        <v>1.103448275862069</v>
      </c>
      <c r="DE55" s="9">
        <f t="shared" si="29"/>
        <v>29</v>
      </c>
      <c r="DF55" s="127">
        <f t="shared" si="30"/>
        <v>0.85365853658536583</v>
      </c>
      <c r="DG55" s="9">
        <f t="shared" si="31"/>
        <v>41</v>
      </c>
      <c r="DH55" s="129">
        <f t="shared" si="32"/>
        <v>0.85344827586206895</v>
      </c>
      <c r="DI55" s="130">
        <f t="shared" si="22"/>
        <v>1.55</v>
      </c>
      <c r="DJ55" s="129">
        <f t="shared" si="33"/>
        <v>0.46476964769647694</v>
      </c>
      <c r="DK55" s="9"/>
      <c r="DL55" s="7"/>
      <c r="DM55" s="9"/>
      <c r="DN55" s="7"/>
      <c r="DO55" s="9">
        <f t="shared" si="34"/>
        <v>6</v>
      </c>
      <c r="DP55" s="114">
        <f t="shared" si="35"/>
        <v>18</v>
      </c>
      <c r="DQ55" s="114">
        <f t="shared" si="36"/>
        <v>12</v>
      </c>
      <c r="DR55" s="131">
        <v>1</v>
      </c>
      <c r="DS55" s="145"/>
      <c r="DT55" s="145"/>
      <c r="DU55" s="145"/>
      <c r="DV55" s="145"/>
      <c r="DW55" s="145"/>
      <c r="DX55" s="145"/>
      <c r="DY55" s="145"/>
      <c r="DZ55" s="145"/>
      <c r="EA55" s="145"/>
      <c r="EB55" s="145"/>
      <c r="EC55" s="145"/>
      <c r="ED55" s="145"/>
      <c r="EE55" s="145"/>
      <c r="EF55" s="136"/>
    </row>
    <row r="56" spans="1:136">
      <c r="A56" s="112">
        <v>1478</v>
      </c>
      <c r="B56" s="153" t="s">
        <v>45</v>
      </c>
      <c r="C56" s="146">
        <v>2575278</v>
      </c>
      <c r="D56" s="112" t="s">
        <v>367</v>
      </c>
      <c r="E56" s="111">
        <v>69</v>
      </c>
      <c r="F56" s="112" t="s">
        <v>318</v>
      </c>
      <c r="G56" s="112"/>
      <c r="H56" s="112" t="s">
        <v>319</v>
      </c>
      <c r="I56" s="112"/>
      <c r="J56" s="113">
        <v>42090</v>
      </c>
      <c r="K56" s="114">
        <v>45</v>
      </c>
      <c r="L56" s="112">
        <v>4</v>
      </c>
      <c r="M56" s="113">
        <v>42005</v>
      </c>
      <c r="N56" s="112">
        <v>2</v>
      </c>
      <c r="O56" s="137">
        <v>42236</v>
      </c>
      <c r="P56" s="5">
        <v>42262</v>
      </c>
      <c r="Q56" s="179"/>
      <c r="R56" s="112"/>
      <c r="S56" s="112"/>
      <c r="T56" s="112"/>
      <c r="U56" s="112"/>
      <c r="V56" s="112"/>
      <c r="W56" s="112"/>
      <c r="X56" s="112"/>
      <c r="Y56" s="140" t="s">
        <v>145</v>
      </c>
      <c r="Z56" s="140" t="s">
        <v>146</v>
      </c>
      <c r="AA56" s="7"/>
      <c r="AB56" s="7"/>
      <c r="AC56" s="7"/>
      <c r="AD56" s="7"/>
      <c r="AE56" s="7"/>
      <c r="AF56" s="7"/>
      <c r="AG56" s="7"/>
      <c r="AH56" s="121">
        <v>1</v>
      </c>
      <c r="AI56" s="124"/>
      <c r="AJ56" s="121"/>
      <c r="AK56" s="124"/>
      <c r="AL56" s="124"/>
      <c r="AM56" s="124"/>
      <c r="AN56" s="124"/>
      <c r="AO56" s="124"/>
      <c r="AP56" s="124"/>
      <c r="AQ56" s="125">
        <v>703.29</v>
      </c>
      <c r="AR56" s="125">
        <v>1437.73</v>
      </c>
      <c r="AS56" s="126"/>
      <c r="AT56" s="126"/>
      <c r="AU56" s="127"/>
      <c r="AV56" s="127"/>
      <c r="AW56" s="127"/>
      <c r="AX56" s="127"/>
      <c r="AY56" s="127"/>
      <c r="AZ56" s="125">
        <v>2.08</v>
      </c>
      <c r="BA56" s="125">
        <v>2.98</v>
      </c>
      <c r="BB56" s="127"/>
      <c r="BC56" s="127"/>
      <c r="BD56" s="127"/>
      <c r="BE56" s="127"/>
      <c r="BF56" s="127"/>
      <c r="BG56" s="127"/>
      <c r="BH56" s="127"/>
      <c r="BI56" s="125">
        <v>50.81</v>
      </c>
      <c r="BJ56" s="125">
        <v>62.65</v>
      </c>
      <c r="BK56" s="127"/>
      <c r="BL56" s="127"/>
      <c r="BM56" s="127"/>
      <c r="BN56" s="127"/>
      <c r="BO56" s="127"/>
      <c r="BP56" s="127"/>
      <c r="BQ56" s="127"/>
      <c r="BR56" s="125">
        <v>1459.92</v>
      </c>
      <c r="BS56" s="125">
        <v>1390.94</v>
      </c>
      <c r="BT56" s="127"/>
      <c r="BU56" s="127"/>
      <c r="BV56" s="127"/>
      <c r="BW56" s="127"/>
      <c r="BX56" s="127"/>
      <c r="BY56" s="127"/>
      <c r="BZ56" s="127"/>
      <c r="CA56" s="9">
        <v>45</v>
      </c>
      <c r="CB56" s="7">
        <v>42090</v>
      </c>
      <c r="CC56" s="9">
        <f t="shared" si="23"/>
        <v>-5</v>
      </c>
      <c r="CD56" s="9">
        <v>45</v>
      </c>
      <c r="CE56" s="137">
        <v>42236</v>
      </c>
      <c r="CF56" s="128">
        <f t="shared" si="24"/>
        <v>2</v>
      </c>
      <c r="CG56" s="128">
        <f t="shared" si="20"/>
        <v>6</v>
      </c>
      <c r="CH56" s="39">
        <v>45</v>
      </c>
      <c r="CI56" s="40">
        <v>42236</v>
      </c>
      <c r="CJ56" s="18">
        <v>0</v>
      </c>
      <c r="CK56" s="39">
        <v>45</v>
      </c>
      <c r="CL56" s="40">
        <v>42292</v>
      </c>
      <c r="CM56" s="21">
        <v>2</v>
      </c>
      <c r="CN56" s="41">
        <v>35</v>
      </c>
      <c r="CO56" s="42">
        <v>42429</v>
      </c>
      <c r="CP56" s="23">
        <v>6</v>
      </c>
      <c r="CQ56" s="39">
        <v>34</v>
      </c>
      <c r="CR56" s="46">
        <v>42496</v>
      </c>
      <c r="CS56" s="24">
        <v>9</v>
      </c>
      <c r="CT56" s="39">
        <v>14</v>
      </c>
      <c r="CU56" s="46">
        <v>42891</v>
      </c>
      <c r="CV56" s="29">
        <v>22</v>
      </c>
      <c r="CW56" s="9"/>
      <c r="CX56" s="7"/>
      <c r="CY56" s="9"/>
      <c r="CZ56" s="127">
        <f t="shared" si="25"/>
        <v>0.375</v>
      </c>
      <c r="DA56" s="127">
        <f t="shared" si="26"/>
        <v>0.375</v>
      </c>
      <c r="DB56" s="127">
        <f t="shared" si="27"/>
        <v>0</v>
      </c>
      <c r="DC56" s="127">
        <f t="shared" si="21"/>
        <v>1.6666666666666667</v>
      </c>
      <c r="DD56" s="127">
        <f t="shared" si="28"/>
        <v>1.4761904761904763</v>
      </c>
      <c r="DE56" s="9">
        <f t="shared" si="29"/>
        <v>21</v>
      </c>
      <c r="DF56" s="127">
        <f t="shared" si="30"/>
        <v>1.1923076923076923</v>
      </c>
      <c r="DG56" s="9">
        <f t="shared" si="31"/>
        <v>26</v>
      </c>
      <c r="DH56" s="129">
        <f t="shared" si="32"/>
        <v>1.4761904761904763</v>
      </c>
      <c r="DI56" s="130">
        <f t="shared" si="22"/>
        <v>1.6666666666666667</v>
      </c>
      <c r="DJ56" s="129">
        <f t="shared" si="33"/>
        <v>0.81730769230769229</v>
      </c>
      <c r="DK56" s="9"/>
      <c r="DL56" s="7"/>
      <c r="DM56" s="9"/>
      <c r="DN56" s="7"/>
      <c r="DO56" s="9">
        <f t="shared" si="34"/>
        <v>3</v>
      </c>
      <c r="DP56" s="114">
        <f t="shared" si="35"/>
        <v>8</v>
      </c>
      <c r="DQ56" s="114">
        <f t="shared" si="36"/>
        <v>5</v>
      </c>
      <c r="DR56" s="131">
        <v>1</v>
      </c>
      <c r="DS56" s="145"/>
      <c r="DT56" s="145"/>
      <c r="DU56" s="145"/>
      <c r="DV56" s="145"/>
      <c r="DW56" s="145"/>
      <c r="DX56" s="145"/>
      <c r="DY56" s="145"/>
      <c r="DZ56" s="145"/>
      <c r="EA56" s="145"/>
      <c r="EB56" s="145"/>
      <c r="EC56" s="145"/>
      <c r="ED56" s="145"/>
      <c r="EE56" s="145"/>
      <c r="EF56" s="136"/>
    </row>
    <row r="57" spans="1:136">
      <c r="A57" s="112">
        <v>1361</v>
      </c>
      <c r="B57" s="108" t="s">
        <v>46</v>
      </c>
      <c r="C57" s="146">
        <v>2557747</v>
      </c>
      <c r="D57" s="112" t="s">
        <v>368</v>
      </c>
      <c r="E57" s="111">
        <v>19</v>
      </c>
      <c r="F57" s="112" t="s">
        <v>318</v>
      </c>
      <c r="G57" s="112"/>
      <c r="H57" s="112" t="s">
        <v>319</v>
      </c>
      <c r="I57" s="112"/>
      <c r="J57" s="113">
        <v>41953</v>
      </c>
      <c r="K57" s="114">
        <v>43</v>
      </c>
      <c r="L57" s="112">
        <v>5</v>
      </c>
      <c r="M57" s="113">
        <v>41487</v>
      </c>
      <c r="N57" s="112">
        <v>2</v>
      </c>
      <c r="O57" s="137">
        <v>42110</v>
      </c>
      <c r="P57" s="5">
        <v>42136</v>
      </c>
      <c r="Q57" s="179"/>
      <c r="R57" s="112"/>
      <c r="S57" s="112"/>
      <c r="T57" s="112"/>
      <c r="U57" s="112"/>
      <c r="V57" s="112"/>
      <c r="W57" s="112"/>
      <c r="X57" s="112"/>
      <c r="Y57" s="140" t="s">
        <v>147</v>
      </c>
      <c r="Z57" s="140" t="s">
        <v>148</v>
      </c>
      <c r="AA57" s="7"/>
      <c r="AB57" s="7"/>
      <c r="AC57" s="7"/>
      <c r="AD57" s="7"/>
      <c r="AE57" s="7"/>
      <c r="AF57" s="7"/>
      <c r="AG57" s="7"/>
      <c r="AH57" s="121">
        <v>1</v>
      </c>
      <c r="AI57" s="124"/>
      <c r="AJ57" s="124"/>
      <c r="AK57" s="124"/>
      <c r="AL57" s="124"/>
      <c r="AM57" s="124"/>
      <c r="AN57" s="124"/>
      <c r="AO57" s="124"/>
      <c r="AP57" s="124"/>
      <c r="AQ57" s="125">
        <v>1466.2</v>
      </c>
      <c r="AR57" s="125">
        <v>4627.7</v>
      </c>
      <c r="AS57" s="126"/>
      <c r="AT57" s="126"/>
      <c r="AU57" s="127"/>
      <c r="AV57" s="127"/>
      <c r="AW57" s="127"/>
      <c r="AX57" s="127"/>
      <c r="AY57" s="127"/>
      <c r="AZ57" s="125">
        <v>3.46</v>
      </c>
      <c r="BA57" s="125">
        <v>7.99</v>
      </c>
      <c r="BB57" s="127"/>
      <c r="BC57" s="127"/>
      <c r="BD57" s="127"/>
      <c r="BE57" s="127"/>
      <c r="BF57" s="127"/>
      <c r="BG57" s="127"/>
      <c r="BH57" s="127"/>
      <c r="BI57" s="125">
        <v>46.4</v>
      </c>
      <c r="BJ57" s="125">
        <v>94.06</v>
      </c>
      <c r="BK57" s="127"/>
      <c r="BL57" s="127"/>
      <c r="BM57" s="127"/>
      <c r="BN57" s="127"/>
      <c r="BO57" s="127"/>
      <c r="BP57" s="127"/>
      <c r="BQ57" s="127"/>
      <c r="BR57" s="125">
        <v>1980.19</v>
      </c>
      <c r="BS57" s="125">
        <v>1237.17</v>
      </c>
      <c r="BT57" s="127"/>
      <c r="BU57" s="127"/>
      <c r="BV57" s="127"/>
      <c r="BW57" s="127"/>
      <c r="BX57" s="127"/>
      <c r="BY57" s="127"/>
      <c r="BZ57" s="127"/>
      <c r="CA57" s="9">
        <v>43</v>
      </c>
      <c r="CB57" s="7">
        <v>41953</v>
      </c>
      <c r="CC57" s="9">
        <f t="shared" si="23"/>
        <v>-5</v>
      </c>
      <c r="CD57" s="9">
        <v>37</v>
      </c>
      <c r="CE57" s="137">
        <v>42110</v>
      </c>
      <c r="CF57" s="128">
        <f t="shared" si="24"/>
        <v>3</v>
      </c>
      <c r="CG57" s="128">
        <f t="shared" si="20"/>
        <v>6</v>
      </c>
      <c r="CH57" s="39">
        <v>37</v>
      </c>
      <c r="CI57" s="40">
        <v>42110</v>
      </c>
      <c r="CJ57" s="18">
        <v>0</v>
      </c>
      <c r="CK57" s="39">
        <v>37</v>
      </c>
      <c r="CL57" s="40">
        <v>42198</v>
      </c>
      <c r="CM57" s="21">
        <v>3</v>
      </c>
      <c r="CN57" s="41">
        <v>16</v>
      </c>
      <c r="CO57" s="42">
        <v>42289</v>
      </c>
      <c r="CP57" s="23">
        <v>6</v>
      </c>
      <c r="CQ57" s="39">
        <v>13</v>
      </c>
      <c r="CR57" s="46">
        <v>42489</v>
      </c>
      <c r="CS57" s="29">
        <v>12</v>
      </c>
      <c r="CT57" s="9"/>
      <c r="CU57" s="7"/>
      <c r="CV57" s="9"/>
      <c r="CW57" s="61"/>
      <c r="CX57" s="61"/>
      <c r="CY57" s="62"/>
      <c r="CZ57" s="127">
        <f t="shared" si="25"/>
        <v>0.55000000000000004</v>
      </c>
      <c r="DA57" s="127">
        <f t="shared" si="26"/>
        <v>0.55000000000000004</v>
      </c>
      <c r="DB57" s="127">
        <f t="shared" si="27"/>
        <v>1.2</v>
      </c>
      <c r="DC57" s="127">
        <f t="shared" si="21"/>
        <v>3.5</v>
      </c>
      <c r="DD57" s="127">
        <f t="shared" si="28"/>
        <v>2</v>
      </c>
      <c r="DE57" s="9">
        <f t="shared" si="29"/>
        <v>12</v>
      </c>
      <c r="DF57" s="127">
        <f t="shared" si="30"/>
        <v>1.6666666666666667</v>
      </c>
      <c r="DG57" s="9">
        <f t="shared" si="31"/>
        <v>18</v>
      </c>
      <c r="DH57" s="129">
        <f t="shared" si="32"/>
        <v>0.8</v>
      </c>
      <c r="DI57" s="130">
        <f t="shared" si="22"/>
        <v>2.2999999999999998</v>
      </c>
      <c r="DJ57" s="129">
        <f t="shared" si="33"/>
        <v>1.1166666666666667</v>
      </c>
      <c r="DK57" s="9"/>
      <c r="DL57" s="7"/>
      <c r="DM57" s="9"/>
      <c r="DN57" s="7"/>
      <c r="DO57" s="9">
        <f t="shared" si="34"/>
        <v>15</v>
      </c>
      <c r="DP57" s="114">
        <f t="shared" si="35"/>
        <v>20</v>
      </c>
      <c r="DQ57" s="114">
        <f t="shared" si="36"/>
        <v>5</v>
      </c>
      <c r="DR57" s="131">
        <v>1</v>
      </c>
      <c r="DS57" s="145"/>
      <c r="DT57" s="145"/>
      <c r="DU57" s="145"/>
      <c r="DV57" s="145"/>
      <c r="DW57" s="145"/>
      <c r="DX57" s="145"/>
      <c r="DY57" s="145"/>
      <c r="DZ57" s="145"/>
      <c r="EA57" s="145"/>
      <c r="EB57" s="145"/>
      <c r="EC57" s="145"/>
      <c r="ED57" s="145"/>
      <c r="EE57" s="145"/>
      <c r="EF57" s="136"/>
    </row>
    <row r="58" spans="1:136">
      <c r="A58" s="112">
        <v>2631</v>
      </c>
      <c r="B58" s="153" t="s">
        <v>311</v>
      </c>
      <c r="C58" s="146">
        <v>2774503</v>
      </c>
      <c r="D58" s="115" t="s">
        <v>369</v>
      </c>
      <c r="E58" s="111">
        <v>242</v>
      </c>
      <c r="F58" s="112" t="s">
        <v>313</v>
      </c>
      <c r="G58" s="112"/>
      <c r="H58" s="112" t="s">
        <v>314</v>
      </c>
      <c r="I58" s="112"/>
      <c r="J58" s="113">
        <v>43742</v>
      </c>
      <c r="K58" s="114">
        <v>25</v>
      </c>
      <c r="L58" s="112">
        <v>1</v>
      </c>
      <c r="M58" s="113">
        <v>43313</v>
      </c>
      <c r="N58" s="112">
        <v>2</v>
      </c>
      <c r="O58" s="137">
        <v>43784</v>
      </c>
      <c r="P58" s="5">
        <v>43817</v>
      </c>
      <c r="Q58" s="179"/>
      <c r="R58" s="112"/>
      <c r="S58" s="112"/>
      <c r="T58" s="112"/>
      <c r="U58" s="112"/>
      <c r="V58" s="112"/>
      <c r="W58" s="112"/>
      <c r="X58" s="112"/>
      <c r="Y58" s="180">
        <v>43784</v>
      </c>
      <c r="Z58" s="180">
        <v>43817</v>
      </c>
      <c r="AA58" s="7"/>
      <c r="AB58" s="7"/>
      <c r="AC58" s="7"/>
      <c r="AD58" s="7"/>
      <c r="AE58" s="7"/>
      <c r="AF58" s="7"/>
      <c r="AG58" s="7"/>
      <c r="AH58" s="121">
        <v>1</v>
      </c>
      <c r="AI58" s="124"/>
      <c r="AJ58" s="124"/>
      <c r="AK58" s="124"/>
      <c r="AL58" s="124"/>
      <c r="AM58" s="124"/>
      <c r="AN58" s="124"/>
      <c r="AO58" s="124"/>
      <c r="AP58" s="124"/>
      <c r="AQ58" s="125">
        <v>1524.1999999999998</v>
      </c>
      <c r="AR58" s="125">
        <v>1908.8</v>
      </c>
      <c r="AS58" s="126"/>
      <c r="AT58" s="126"/>
      <c r="AU58" s="127"/>
      <c r="AV58" s="127"/>
      <c r="AW58" s="127"/>
      <c r="AX58" s="127"/>
      <c r="AY58" s="127"/>
      <c r="AZ58" s="125">
        <v>2.625</v>
      </c>
      <c r="BA58" s="125">
        <v>3.0750000000000002</v>
      </c>
      <c r="BB58" s="127"/>
      <c r="BC58" s="127"/>
      <c r="BD58" s="127"/>
      <c r="BE58" s="127"/>
      <c r="BF58" s="127"/>
      <c r="BG58" s="127"/>
      <c r="BH58" s="127"/>
      <c r="BI58" s="125">
        <v>37.65</v>
      </c>
      <c r="BJ58" s="125">
        <v>49.44</v>
      </c>
      <c r="BK58" s="127"/>
      <c r="BL58" s="127"/>
      <c r="BM58" s="127"/>
      <c r="BN58" s="127"/>
      <c r="BO58" s="127"/>
      <c r="BP58" s="127"/>
      <c r="BQ58" s="127"/>
      <c r="BR58" s="125">
        <v>1269.26</v>
      </c>
      <c r="BS58" s="125">
        <v>1102.99</v>
      </c>
      <c r="BT58" s="127"/>
      <c r="BU58" s="127"/>
      <c r="BV58" s="127"/>
      <c r="BW58" s="127"/>
      <c r="BX58" s="127"/>
      <c r="BY58" s="127"/>
      <c r="BZ58" s="127"/>
      <c r="CA58" s="9">
        <v>25</v>
      </c>
      <c r="CB58" s="7">
        <v>43742</v>
      </c>
      <c r="CC58" s="9">
        <f t="shared" si="23"/>
        <v>-1</v>
      </c>
      <c r="CD58" s="9">
        <v>24</v>
      </c>
      <c r="CE58" s="137">
        <v>43817</v>
      </c>
      <c r="CF58" s="128">
        <f t="shared" si="24"/>
        <v>0</v>
      </c>
      <c r="CG58" s="128"/>
      <c r="CH58" s="8">
        <v>25</v>
      </c>
      <c r="CI58" s="6">
        <v>43742</v>
      </c>
      <c r="CJ58" s="18"/>
      <c r="CK58" s="8">
        <v>24</v>
      </c>
      <c r="CL58" s="5">
        <v>43817</v>
      </c>
      <c r="CM58" s="21">
        <v>1</v>
      </c>
      <c r="CN58" s="41"/>
      <c r="CO58" s="42"/>
      <c r="CP58" s="23"/>
      <c r="CQ58" s="39"/>
      <c r="CR58" s="46"/>
      <c r="CS58" s="24"/>
      <c r="CT58" s="39"/>
      <c r="CU58" s="46"/>
      <c r="CV58" s="29"/>
      <c r="CW58" s="9"/>
      <c r="CX58" s="7"/>
      <c r="CY58" s="9"/>
      <c r="CZ58" s="127">
        <f t="shared" si="25"/>
        <v>1.6428571428571428</v>
      </c>
      <c r="DA58" s="127">
        <f t="shared" si="26"/>
        <v>1.7142857142857142</v>
      </c>
      <c r="DB58" s="127">
        <f t="shared" si="27"/>
        <v>0.5</v>
      </c>
      <c r="DC58" s="127"/>
      <c r="DD58" s="127">
        <f t="shared" si="28"/>
        <v>0.5</v>
      </c>
      <c r="DE58" s="9">
        <f t="shared" si="29"/>
        <v>2</v>
      </c>
      <c r="DF58" s="127">
        <f t="shared" si="30"/>
        <v>0.5</v>
      </c>
      <c r="DG58" s="9">
        <f t="shared" si="31"/>
        <v>2</v>
      </c>
      <c r="DH58" s="129">
        <f t="shared" si="32"/>
        <v>0</v>
      </c>
      <c r="DI58" s="129"/>
      <c r="DJ58" s="129">
        <f t="shared" si="33"/>
        <v>-1.1428571428571428</v>
      </c>
      <c r="DK58" s="9"/>
      <c r="DL58" s="7"/>
      <c r="DM58" s="9"/>
      <c r="DN58" s="7"/>
      <c r="DO58" s="9">
        <f t="shared" si="34"/>
        <v>14</v>
      </c>
      <c r="DP58" s="114">
        <f t="shared" si="35"/>
        <v>14</v>
      </c>
      <c r="DQ58" s="114">
        <f t="shared" si="36"/>
        <v>2</v>
      </c>
      <c r="DR58" s="131">
        <v>1</v>
      </c>
      <c r="DS58" s="145"/>
      <c r="DT58" s="145"/>
      <c r="DU58" s="145"/>
      <c r="DV58" s="145"/>
      <c r="DW58" s="145"/>
      <c r="DX58" s="145"/>
      <c r="DY58" s="145"/>
      <c r="DZ58" s="145"/>
      <c r="EA58" s="145"/>
      <c r="EB58" s="145"/>
      <c r="EC58" s="145"/>
      <c r="ED58" s="145"/>
      <c r="EE58" s="145"/>
      <c r="EF58" s="136"/>
    </row>
    <row r="59" spans="1:136">
      <c r="A59" s="112">
        <v>2652</v>
      </c>
      <c r="B59" s="153" t="s">
        <v>47</v>
      </c>
      <c r="C59" s="146">
        <v>2778625</v>
      </c>
      <c r="D59" s="115" t="s">
        <v>370</v>
      </c>
      <c r="E59" s="111">
        <v>247</v>
      </c>
      <c r="F59" s="112" t="s">
        <v>313</v>
      </c>
      <c r="G59" s="112"/>
      <c r="H59" s="112" t="s">
        <v>314</v>
      </c>
      <c r="I59" s="112"/>
      <c r="J59" s="113">
        <v>43769</v>
      </c>
      <c r="K59" s="114">
        <v>35</v>
      </c>
      <c r="L59" s="112">
        <v>1</v>
      </c>
      <c r="M59" s="113">
        <v>42917</v>
      </c>
      <c r="N59" s="112">
        <v>2</v>
      </c>
      <c r="O59" s="137">
        <v>43810</v>
      </c>
      <c r="P59" s="5">
        <v>43838</v>
      </c>
      <c r="Q59" s="179"/>
      <c r="R59" s="112"/>
      <c r="S59" s="112"/>
      <c r="T59" s="112"/>
      <c r="U59" s="112"/>
      <c r="V59" s="112"/>
      <c r="W59" s="112"/>
      <c r="X59" s="112"/>
      <c r="Y59" s="180">
        <v>43810</v>
      </c>
      <c r="Z59" s="180">
        <v>43838</v>
      </c>
      <c r="AA59" s="7"/>
      <c r="AB59" s="7"/>
      <c r="AC59" s="7"/>
      <c r="AD59" s="7"/>
      <c r="AE59" s="7"/>
      <c r="AF59" s="7"/>
      <c r="AG59" s="7"/>
      <c r="AH59" s="121">
        <v>1</v>
      </c>
      <c r="AI59" s="124"/>
      <c r="AJ59" s="124"/>
      <c r="AK59" s="124"/>
      <c r="AL59" s="124"/>
      <c r="AM59" s="124"/>
      <c r="AN59" s="124"/>
      <c r="AO59" s="124"/>
      <c r="AP59" s="124"/>
      <c r="AQ59" s="125">
        <v>1143.0999999999999</v>
      </c>
      <c r="AR59" s="125">
        <v>1008.3</v>
      </c>
      <c r="AS59" s="126"/>
      <c r="AT59" s="126"/>
      <c r="AU59" s="127"/>
      <c r="AV59" s="127"/>
      <c r="AW59" s="127"/>
      <c r="AX59" s="127"/>
      <c r="AY59" s="127"/>
      <c r="AZ59" s="125">
        <v>2.4500000000000002</v>
      </c>
      <c r="BA59" s="125">
        <v>3.47</v>
      </c>
      <c r="BB59" s="127"/>
      <c r="BC59" s="127"/>
      <c r="BD59" s="127"/>
      <c r="BE59" s="127"/>
      <c r="BF59" s="127"/>
      <c r="BG59" s="127"/>
      <c r="BH59" s="127"/>
      <c r="BI59" s="125">
        <v>43.55</v>
      </c>
      <c r="BJ59" s="125">
        <v>60.4</v>
      </c>
      <c r="BK59" s="127"/>
      <c r="BL59" s="127"/>
      <c r="BM59" s="127"/>
      <c r="BN59" s="127"/>
      <c r="BO59" s="127"/>
      <c r="BP59" s="127"/>
      <c r="BQ59" s="127"/>
      <c r="BR59" s="125">
        <v>2472.2399999999998</v>
      </c>
      <c r="BS59" s="125">
        <v>1246.6500000000001</v>
      </c>
      <c r="BT59" s="127"/>
      <c r="BU59" s="127"/>
      <c r="BV59" s="127"/>
      <c r="BW59" s="127"/>
      <c r="BX59" s="127"/>
      <c r="BY59" s="127"/>
      <c r="BZ59" s="127"/>
      <c r="CA59" s="9">
        <v>35</v>
      </c>
      <c r="CB59" s="7">
        <v>43769</v>
      </c>
      <c r="CC59" s="9">
        <f t="shared" si="23"/>
        <v>-1</v>
      </c>
      <c r="CD59" s="9">
        <v>34</v>
      </c>
      <c r="CE59" s="137">
        <v>43810</v>
      </c>
      <c r="CF59" s="128">
        <f t="shared" si="24"/>
        <v>0</v>
      </c>
      <c r="CG59" s="128"/>
      <c r="CH59" s="39">
        <v>35</v>
      </c>
      <c r="CI59" s="40">
        <v>43769</v>
      </c>
      <c r="CJ59" s="18">
        <v>-1</v>
      </c>
      <c r="CK59" s="39">
        <v>34</v>
      </c>
      <c r="CL59" s="40">
        <v>43810</v>
      </c>
      <c r="CM59" s="63"/>
      <c r="CN59" s="41">
        <v>33</v>
      </c>
      <c r="CO59" s="42">
        <v>43838</v>
      </c>
      <c r="CP59" s="23"/>
      <c r="CQ59" s="39"/>
      <c r="CR59" s="46"/>
      <c r="CS59" s="24"/>
      <c r="CT59" s="39"/>
      <c r="CU59" s="46"/>
      <c r="CV59" s="29"/>
      <c r="CW59" s="9"/>
      <c r="CX59" s="7"/>
      <c r="CY59" s="9"/>
      <c r="CZ59" s="127">
        <f t="shared" si="25"/>
        <v>0.4642857142857143</v>
      </c>
      <c r="DA59" s="127">
        <f t="shared" si="26"/>
        <v>0.5</v>
      </c>
      <c r="DB59" s="127">
        <f t="shared" si="27"/>
        <v>1</v>
      </c>
      <c r="DC59" s="127"/>
      <c r="DD59" s="127">
        <f t="shared" si="28"/>
        <v>1</v>
      </c>
      <c r="DE59" s="9">
        <f t="shared" si="29"/>
        <v>2</v>
      </c>
      <c r="DF59" s="127">
        <f t="shared" si="30"/>
        <v>1</v>
      </c>
      <c r="DG59" s="9">
        <f t="shared" si="31"/>
        <v>2</v>
      </c>
      <c r="DH59" s="129">
        <f t="shared" si="32"/>
        <v>0</v>
      </c>
      <c r="DI59" s="129"/>
      <c r="DJ59" s="129">
        <f t="shared" si="33"/>
        <v>0.5357142857142857</v>
      </c>
      <c r="DK59" s="9"/>
      <c r="DL59" s="7"/>
      <c r="DM59" s="9"/>
      <c r="DN59" s="7"/>
      <c r="DO59" s="9">
        <f t="shared" si="34"/>
        <v>28</v>
      </c>
      <c r="DP59" s="114">
        <f t="shared" si="35"/>
        <v>28</v>
      </c>
      <c r="DQ59" s="114">
        <f t="shared" si="36"/>
        <v>1</v>
      </c>
      <c r="DR59" s="131">
        <v>1</v>
      </c>
      <c r="DS59" s="145"/>
      <c r="DT59" s="145"/>
      <c r="DU59" s="145"/>
      <c r="DV59" s="145"/>
      <c r="DW59" s="145"/>
      <c r="DX59" s="145"/>
      <c r="DY59" s="145"/>
      <c r="DZ59" s="145"/>
      <c r="EA59" s="145"/>
      <c r="EB59" s="145"/>
      <c r="EC59" s="145"/>
      <c r="ED59" s="145"/>
      <c r="EE59" s="145"/>
      <c r="EF59" s="136"/>
    </row>
    <row r="60" spans="1:136">
      <c r="A60" s="112">
        <v>2491</v>
      </c>
      <c r="B60" s="153" t="s">
        <v>48</v>
      </c>
      <c r="C60" s="146">
        <v>2752825</v>
      </c>
      <c r="D60" s="115" t="s">
        <v>371</v>
      </c>
      <c r="E60" s="111">
        <v>214</v>
      </c>
      <c r="F60" s="112" t="s">
        <v>313</v>
      </c>
      <c r="G60" s="112">
        <v>1</v>
      </c>
      <c r="H60" s="112" t="s">
        <v>314</v>
      </c>
      <c r="I60" s="112"/>
      <c r="J60" s="113">
        <v>43553</v>
      </c>
      <c r="K60" s="114">
        <v>29</v>
      </c>
      <c r="L60" s="112">
        <v>0</v>
      </c>
      <c r="M60" s="113">
        <v>42461</v>
      </c>
      <c r="N60" s="112">
        <v>2</v>
      </c>
      <c r="O60" s="137">
        <v>43581</v>
      </c>
      <c r="P60" s="5">
        <v>43607</v>
      </c>
      <c r="Q60" s="179"/>
      <c r="R60" s="112"/>
      <c r="S60" s="112"/>
      <c r="T60" s="112"/>
      <c r="U60" s="112"/>
      <c r="V60" s="112"/>
      <c r="W60" s="112"/>
      <c r="X60" s="112"/>
      <c r="Y60" s="140">
        <v>43581</v>
      </c>
      <c r="Z60" s="140">
        <v>43607</v>
      </c>
      <c r="AA60" s="7"/>
      <c r="AB60" s="7"/>
      <c r="AC60" s="7"/>
      <c r="AD60" s="7"/>
      <c r="AE60" s="7"/>
      <c r="AF60" s="7"/>
      <c r="AG60" s="7"/>
      <c r="AH60" s="121">
        <v>1</v>
      </c>
      <c r="AI60" s="124"/>
      <c r="AJ60" s="121"/>
      <c r="AK60" s="124"/>
      <c r="AL60" s="124"/>
      <c r="AM60" s="124"/>
      <c r="AN60" s="121"/>
      <c r="AO60" s="121"/>
      <c r="AP60" s="121"/>
      <c r="AQ60" s="125">
        <v>664.7</v>
      </c>
      <c r="AR60" s="125">
        <v>1053</v>
      </c>
      <c r="AS60" s="126"/>
      <c r="AT60" s="126"/>
      <c r="AU60" s="127"/>
      <c r="AV60" s="127"/>
      <c r="AW60" s="127"/>
      <c r="AX60" s="127"/>
      <c r="AY60" s="127"/>
      <c r="AZ60" s="125">
        <v>2.52</v>
      </c>
      <c r="BA60" s="125">
        <v>2.52</v>
      </c>
      <c r="BB60" s="127"/>
      <c r="BC60" s="127"/>
      <c r="BD60" s="127"/>
      <c r="BE60" s="127"/>
      <c r="BF60" s="127"/>
      <c r="BG60" s="127"/>
      <c r="BH60" s="127"/>
      <c r="BI60" s="125">
        <v>31.51</v>
      </c>
      <c r="BJ60" s="125">
        <v>27.85</v>
      </c>
      <c r="BK60" s="127"/>
      <c r="BL60" s="127"/>
      <c r="BM60" s="127"/>
      <c r="BN60" s="127"/>
      <c r="BO60" s="127"/>
      <c r="BP60" s="127"/>
      <c r="BQ60" s="127"/>
      <c r="BR60" s="125">
        <v>1161.21</v>
      </c>
      <c r="BS60" s="125">
        <v>947.18</v>
      </c>
      <c r="BT60" s="127"/>
      <c r="BU60" s="127"/>
      <c r="BV60" s="127"/>
      <c r="BW60" s="127"/>
      <c r="BX60" s="127"/>
      <c r="BY60" s="127"/>
      <c r="BZ60" s="127"/>
      <c r="CA60" s="9">
        <v>29</v>
      </c>
      <c r="CB60" s="7">
        <v>43553</v>
      </c>
      <c r="CC60" s="9">
        <f t="shared" si="23"/>
        <v>-1</v>
      </c>
      <c r="CD60" s="9">
        <v>28</v>
      </c>
      <c r="CE60" s="137">
        <v>43581</v>
      </c>
      <c r="CF60" s="128">
        <f t="shared" si="24"/>
        <v>0</v>
      </c>
      <c r="CG60" s="128"/>
      <c r="CH60" s="64">
        <v>29</v>
      </c>
      <c r="CI60" s="65">
        <v>43553</v>
      </c>
      <c r="CJ60" s="66">
        <v>-1</v>
      </c>
      <c r="CK60" s="64">
        <v>28</v>
      </c>
      <c r="CL60" s="65">
        <v>43581</v>
      </c>
      <c r="CM60" s="63"/>
      <c r="CN60" s="47"/>
      <c r="CO60" s="48"/>
      <c r="CP60" s="49"/>
      <c r="CQ60" s="39"/>
      <c r="CR60" s="46"/>
      <c r="CS60" s="24"/>
      <c r="CT60" s="39"/>
      <c r="CU60" s="46"/>
      <c r="CV60" s="29"/>
      <c r="CW60" s="9"/>
      <c r="CX60" s="7"/>
      <c r="CY60" s="9"/>
      <c r="CZ60" s="127">
        <f t="shared" si="25"/>
        <v>0.52777777777777779</v>
      </c>
      <c r="DA60" s="127">
        <f t="shared" si="26"/>
        <v>0.55555555555555558</v>
      </c>
      <c r="DB60" s="127">
        <f t="shared" si="27"/>
        <v>1</v>
      </c>
      <c r="DC60" s="127"/>
      <c r="DD60" s="127">
        <f t="shared" si="28"/>
        <v>1</v>
      </c>
      <c r="DE60" s="9">
        <f t="shared" si="29"/>
        <v>1</v>
      </c>
      <c r="DF60" s="127">
        <f t="shared" si="30"/>
        <v>1</v>
      </c>
      <c r="DG60" s="9">
        <f t="shared" si="31"/>
        <v>1</v>
      </c>
      <c r="DH60" s="129">
        <f t="shared" si="32"/>
        <v>0</v>
      </c>
      <c r="DI60" s="129"/>
      <c r="DJ60" s="129">
        <f t="shared" si="33"/>
        <v>0.47222222222222221</v>
      </c>
      <c r="DK60" s="9"/>
      <c r="DL60" s="7"/>
      <c r="DM60" s="9"/>
      <c r="DN60" s="7"/>
      <c r="DO60" s="9">
        <f t="shared" si="34"/>
        <v>36</v>
      </c>
      <c r="DP60" s="114">
        <f t="shared" si="35"/>
        <v>36</v>
      </c>
      <c r="DQ60" s="114">
        <f t="shared" si="36"/>
        <v>1</v>
      </c>
      <c r="DR60" s="131">
        <v>1</v>
      </c>
      <c r="DS60" s="145"/>
      <c r="DT60" s="145"/>
      <c r="DU60" s="145"/>
      <c r="DV60" s="145"/>
      <c r="DW60" s="145"/>
      <c r="DX60" s="145"/>
      <c r="DY60" s="145"/>
      <c r="DZ60" s="145"/>
      <c r="EA60" s="145"/>
      <c r="EB60" s="145"/>
      <c r="EC60" s="145"/>
      <c r="ED60" s="145"/>
      <c r="EE60" s="145"/>
      <c r="EF60" s="156"/>
    </row>
    <row r="61" spans="1:136">
      <c r="A61" s="112">
        <v>2503</v>
      </c>
      <c r="B61" s="153" t="s">
        <v>49</v>
      </c>
      <c r="C61" s="146">
        <v>2749914</v>
      </c>
      <c r="D61" s="115" t="s">
        <v>372</v>
      </c>
      <c r="E61" s="111">
        <v>218</v>
      </c>
      <c r="F61" s="112" t="s">
        <v>313</v>
      </c>
      <c r="G61" s="112"/>
      <c r="H61" s="112" t="s">
        <v>314</v>
      </c>
      <c r="I61" s="112" t="s">
        <v>373</v>
      </c>
      <c r="J61" s="113">
        <v>43566</v>
      </c>
      <c r="K61" s="114">
        <v>40</v>
      </c>
      <c r="L61" s="112">
        <v>0</v>
      </c>
      <c r="M61" s="113">
        <v>43191</v>
      </c>
      <c r="N61" s="112">
        <v>2</v>
      </c>
      <c r="O61" s="137">
        <v>43594</v>
      </c>
      <c r="P61" s="5">
        <v>43620</v>
      </c>
      <c r="Q61" s="179"/>
      <c r="R61" s="112"/>
      <c r="S61" s="112"/>
      <c r="T61" s="112"/>
      <c r="U61" s="112"/>
      <c r="V61" s="112"/>
      <c r="W61" s="112"/>
      <c r="X61" s="112"/>
      <c r="Y61" s="180">
        <v>43594</v>
      </c>
      <c r="Z61" s="180">
        <v>43620</v>
      </c>
      <c r="AA61" s="7"/>
      <c r="AB61" s="7"/>
      <c r="AC61" s="7"/>
      <c r="AD61" s="7"/>
      <c r="AE61" s="7"/>
      <c r="AF61" s="7"/>
      <c r="AG61" s="7"/>
      <c r="AH61" s="121">
        <v>1</v>
      </c>
      <c r="AI61" s="124"/>
      <c r="AJ61" s="124"/>
      <c r="AK61" s="124"/>
      <c r="AL61" s="124"/>
      <c r="AM61" s="124"/>
      <c r="AN61" s="121"/>
      <c r="AO61" s="121"/>
      <c r="AP61" s="121"/>
      <c r="AQ61" s="125">
        <v>1146.9000000000001</v>
      </c>
      <c r="AR61" s="125">
        <v>1226.4000000000001</v>
      </c>
      <c r="AS61" s="126"/>
      <c r="AT61" s="126"/>
      <c r="AU61" s="127"/>
      <c r="AV61" s="127"/>
      <c r="AW61" s="127"/>
      <c r="AX61" s="127"/>
      <c r="AY61" s="127"/>
      <c r="AZ61" s="125">
        <v>1.81</v>
      </c>
      <c r="BA61" s="125">
        <v>2.66</v>
      </c>
      <c r="BB61" s="127"/>
      <c r="BC61" s="127"/>
      <c r="BD61" s="127"/>
      <c r="BE61" s="127"/>
      <c r="BF61" s="127"/>
      <c r="BG61" s="127"/>
      <c r="BH61" s="127"/>
      <c r="BI61" s="125">
        <v>40.590000000000003</v>
      </c>
      <c r="BJ61" s="125">
        <v>37.24</v>
      </c>
      <c r="BK61" s="127"/>
      <c r="BL61" s="127"/>
      <c r="BM61" s="127"/>
      <c r="BN61" s="127"/>
      <c r="BO61" s="127"/>
      <c r="BP61" s="127"/>
      <c r="BQ61" s="127"/>
      <c r="BR61" s="125">
        <v>1259.02</v>
      </c>
      <c r="BS61" s="125">
        <v>676.17</v>
      </c>
      <c r="BT61" s="127"/>
      <c r="BU61" s="127"/>
      <c r="BV61" s="127"/>
      <c r="BW61" s="127"/>
      <c r="BX61" s="127"/>
      <c r="BY61" s="127"/>
      <c r="BZ61" s="127"/>
      <c r="CA61" s="9">
        <v>40</v>
      </c>
      <c r="CB61" s="7">
        <v>43566</v>
      </c>
      <c r="CC61" s="9">
        <f t="shared" si="23"/>
        <v>-1</v>
      </c>
      <c r="CD61" s="9">
        <v>40</v>
      </c>
      <c r="CE61" s="137">
        <v>43594</v>
      </c>
      <c r="CF61" s="128">
        <f t="shared" si="24"/>
        <v>0</v>
      </c>
      <c r="CG61" s="128"/>
      <c r="CH61" s="39">
        <v>40</v>
      </c>
      <c r="CI61" s="40">
        <v>43566</v>
      </c>
      <c r="CJ61" s="18">
        <v>-1</v>
      </c>
      <c r="CK61" s="8">
        <v>40</v>
      </c>
      <c r="CL61" s="5">
        <v>43594</v>
      </c>
      <c r="CM61" s="63"/>
      <c r="CN61" s="41"/>
      <c r="CO61" s="42"/>
      <c r="CP61" s="23"/>
      <c r="CQ61" s="39"/>
      <c r="CR61" s="46"/>
      <c r="CS61" s="24"/>
      <c r="CT61" s="39"/>
      <c r="CU61" s="46"/>
      <c r="CV61" s="29"/>
      <c r="CW61" s="9"/>
      <c r="CX61" s="7"/>
      <c r="CY61" s="9"/>
      <c r="CZ61" s="127">
        <f t="shared" si="25"/>
        <v>0.66666666666666663</v>
      </c>
      <c r="DA61" s="127">
        <f t="shared" si="26"/>
        <v>0.66666666666666663</v>
      </c>
      <c r="DB61" s="127">
        <f t="shared" si="27"/>
        <v>0</v>
      </c>
      <c r="DC61" s="127"/>
      <c r="DD61" s="127">
        <f t="shared" si="28"/>
        <v>0</v>
      </c>
      <c r="DE61" s="9">
        <f t="shared" si="29"/>
        <v>1</v>
      </c>
      <c r="DF61" s="127">
        <f t="shared" si="30"/>
        <v>0</v>
      </c>
      <c r="DG61" s="9">
        <f t="shared" si="31"/>
        <v>1</v>
      </c>
      <c r="DH61" s="129">
        <f t="shared" si="32"/>
        <v>0</v>
      </c>
      <c r="DI61" s="129"/>
      <c r="DJ61" s="129">
        <f t="shared" si="33"/>
        <v>-0.66666666666666663</v>
      </c>
      <c r="DK61" s="9"/>
      <c r="DL61" s="7"/>
      <c r="DM61" s="9"/>
      <c r="DN61" s="7"/>
      <c r="DO61" s="9">
        <f t="shared" si="34"/>
        <v>12</v>
      </c>
      <c r="DP61" s="114">
        <f t="shared" si="35"/>
        <v>12</v>
      </c>
      <c r="DQ61" s="114">
        <f t="shared" si="36"/>
        <v>1</v>
      </c>
      <c r="DR61" s="131">
        <v>1</v>
      </c>
      <c r="DS61" s="145"/>
      <c r="DT61" s="145"/>
      <c r="DU61" s="145"/>
      <c r="DV61" s="145"/>
      <c r="DW61" s="145"/>
      <c r="DX61" s="145"/>
      <c r="DY61" s="145"/>
      <c r="DZ61" s="145"/>
      <c r="EA61" s="145"/>
      <c r="EB61" s="145"/>
      <c r="EC61" s="145"/>
      <c r="ED61" s="145"/>
      <c r="EE61" s="145"/>
      <c r="EF61" s="136"/>
    </row>
    <row r="62" spans="1:136">
      <c r="A62" s="112">
        <v>1867</v>
      </c>
      <c r="B62" s="142" t="s">
        <v>50</v>
      </c>
      <c r="C62" s="146">
        <v>2648156</v>
      </c>
      <c r="D62" s="115" t="s">
        <v>374</v>
      </c>
      <c r="E62" s="111">
        <v>116</v>
      </c>
      <c r="F62" s="112" t="s">
        <v>313</v>
      </c>
      <c r="G62" s="112"/>
      <c r="H62" s="112" t="s">
        <v>314</v>
      </c>
      <c r="I62" s="112"/>
      <c r="J62" s="113">
        <v>42663</v>
      </c>
      <c r="K62" s="114">
        <v>41</v>
      </c>
      <c r="L62" s="115">
        <v>1</v>
      </c>
      <c r="M62" s="113">
        <v>42401</v>
      </c>
      <c r="N62" s="112">
        <v>2</v>
      </c>
      <c r="O62" s="137">
        <v>42699</v>
      </c>
      <c r="P62" s="5">
        <v>42725</v>
      </c>
      <c r="Q62" s="179"/>
      <c r="R62" s="112"/>
      <c r="S62" s="112"/>
      <c r="T62" s="112"/>
      <c r="U62" s="112"/>
      <c r="V62" s="112"/>
      <c r="W62" s="112"/>
      <c r="X62" s="112"/>
      <c r="Y62" s="140">
        <v>42699</v>
      </c>
      <c r="Z62" s="140">
        <v>42725</v>
      </c>
      <c r="AA62" s="7"/>
      <c r="AB62" s="7"/>
      <c r="AC62" s="7"/>
      <c r="AD62" s="7"/>
      <c r="AE62" s="7"/>
      <c r="AF62" s="7"/>
      <c r="AG62" s="7"/>
      <c r="AH62" s="121">
        <v>1</v>
      </c>
      <c r="AI62" s="124"/>
      <c r="AJ62" s="121"/>
      <c r="AK62" s="124"/>
      <c r="AL62" s="124"/>
      <c r="AM62" s="124"/>
      <c r="AN62" s="124"/>
      <c r="AO62" s="124"/>
      <c r="AP62" s="124"/>
      <c r="AQ62" s="125">
        <v>1313.7</v>
      </c>
      <c r="AR62" s="125">
        <v>2930.2999999999997</v>
      </c>
      <c r="AS62" s="126"/>
      <c r="AT62" s="126"/>
      <c r="AU62" s="127"/>
      <c r="AV62" s="127"/>
      <c r="AW62" s="127"/>
      <c r="AX62" s="127"/>
      <c r="AY62" s="127"/>
      <c r="AZ62" s="125">
        <v>2.1</v>
      </c>
      <c r="BA62" s="125">
        <v>4.2699999999999996</v>
      </c>
      <c r="BB62" s="127"/>
      <c r="BC62" s="127"/>
      <c r="BD62" s="127"/>
      <c r="BE62" s="127"/>
      <c r="BF62" s="127"/>
      <c r="BG62" s="127"/>
      <c r="BH62" s="127"/>
      <c r="BI62" s="125">
        <v>61.12</v>
      </c>
      <c r="BJ62" s="125">
        <v>71.61</v>
      </c>
      <c r="BK62" s="127"/>
      <c r="BL62" s="127"/>
      <c r="BM62" s="127"/>
      <c r="BN62" s="127"/>
      <c r="BO62" s="127"/>
      <c r="BP62" s="127"/>
      <c r="BQ62" s="127"/>
      <c r="BR62" s="125">
        <v>2174.75</v>
      </c>
      <c r="BS62" s="125">
        <v>784.89</v>
      </c>
      <c r="BT62" s="127"/>
      <c r="BU62" s="127"/>
      <c r="BV62" s="127"/>
      <c r="BW62" s="127"/>
      <c r="BX62" s="127"/>
      <c r="BY62" s="127"/>
      <c r="BZ62" s="127"/>
      <c r="CA62" s="9">
        <v>41</v>
      </c>
      <c r="CB62" s="7">
        <v>42663</v>
      </c>
      <c r="CC62" s="9">
        <f t="shared" si="23"/>
        <v>-1</v>
      </c>
      <c r="CD62" s="9">
        <v>35</v>
      </c>
      <c r="CE62" s="137">
        <v>42699</v>
      </c>
      <c r="CF62" s="128">
        <f t="shared" si="24"/>
        <v>1</v>
      </c>
      <c r="CG62" s="128"/>
      <c r="CH62" s="39">
        <v>35</v>
      </c>
      <c r="CI62" s="40">
        <v>42699</v>
      </c>
      <c r="CJ62" s="18">
        <v>0</v>
      </c>
      <c r="CK62" s="39">
        <v>32</v>
      </c>
      <c r="CL62" s="40">
        <v>42720</v>
      </c>
      <c r="CM62" s="21">
        <v>1</v>
      </c>
      <c r="CN62" s="41"/>
      <c r="CO62" s="42"/>
      <c r="CP62" s="23"/>
      <c r="CQ62" s="39"/>
      <c r="CR62" s="46"/>
      <c r="CS62" s="24"/>
      <c r="CT62" s="39"/>
      <c r="CU62" s="46"/>
      <c r="CV62" s="29"/>
      <c r="CW62" s="9"/>
      <c r="CX62" s="7"/>
      <c r="CY62" s="9"/>
      <c r="CZ62" s="127">
        <f t="shared" si="25"/>
        <v>1.3</v>
      </c>
      <c r="DA62" s="127">
        <f t="shared" si="26"/>
        <v>1.3</v>
      </c>
      <c r="DB62" s="127">
        <f t="shared" si="27"/>
        <v>6</v>
      </c>
      <c r="DC62" s="127"/>
      <c r="DD62" s="127">
        <f t="shared" si="28"/>
        <v>3</v>
      </c>
      <c r="DE62" s="9">
        <f t="shared" si="29"/>
        <v>1</v>
      </c>
      <c r="DF62" s="127">
        <f t="shared" si="30"/>
        <v>4.5</v>
      </c>
      <c r="DG62" s="9">
        <f t="shared" si="31"/>
        <v>2</v>
      </c>
      <c r="DH62" s="129">
        <f t="shared" si="32"/>
        <v>-3</v>
      </c>
      <c r="DI62" s="129"/>
      <c r="DJ62" s="129">
        <f t="shared" si="33"/>
        <v>3.2</v>
      </c>
      <c r="DK62" s="9"/>
      <c r="DL62" s="7"/>
      <c r="DM62" s="9"/>
      <c r="DN62" s="7"/>
      <c r="DO62" s="9">
        <f t="shared" si="34"/>
        <v>9</v>
      </c>
      <c r="DP62" s="114">
        <f t="shared" si="35"/>
        <v>10</v>
      </c>
      <c r="DQ62" s="114">
        <f t="shared" si="36"/>
        <v>1</v>
      </c>
      <c r="DR62" s="131">
        <v>1</v>
      </c>
      <c r="DS62" s="145"/>
      <c r="DT62" s="145"/>
      <c r="DU62" s="145"/>
      <c r="DV62" s="145"/>
      <c r="DW62" s="145"/>
      <c r="DX62" s="145"/>
      <c r="DY62" s="145"/>
      <c r="DZ62" s="145"/>
      <c r="EA62" s="145"/>
      <c r="EB62" s="145"/>
      <c r="EC62" s="145"/>
      <c r="ED62" s="145"/>
      <c r="EE62" s="145"/>
      <c r="EF62" s="136"/>
    </row>
    <row r="63" spans="1:136">
      <c r="A63" s="112">
        <v>2603</v>
      </c>
      <c r="B63" s="153" t="s">
        <v>311</v>
      </c>
      <c r="C63" s="146">
        <v>2772770</v>
      </c>
      <c r="D63" s="115" t="s">
        <v>375</v>
      </c>
      <c r="E63" s="178">
        <v>240</v>
      </c>
      <c r="F63" s="112" t="s">
        <v>318</v>
      </c>
      <c r="G63" s="112"/>
      <c r="H63" s="112"/>
      <c r="I63" s="112"/>
      <c r="J63" s="113">
        <v>43700</v>
      </c>
      <c r="K63" s="114">
        <v>41</v>
      </c>
      <c r="L63" s="112">
        <v>2</v>
      </c>
      <c r="M63" s="113">
        <v>43374</v>
      </c>
      <c r="N63" s="112">
        <v>2</v>
      </c>
      <c r="O63" s="137">
        <v>43767</v>
      </c>
      <c r="P63" s="5">
        <v>43795</v>
      </c>
      <c r="Q63" s="179"/>
      <c r="R63" s="112"/>
      <c r="S63" s="112"/>
      <c r="T63" s="112"/>
      <c r="U63" s="112"/>
      <c r="V63" s="112"/>
      <c r="W63" s="112"/>
      <c r="X63" s="112"/>
      <c r="Y63" s="140">
        <v>43767</v>
      </c>
      <c r="Z63" s="140">
        <v>43795</v>
      </c>
      <c r="AA63" s="7"/>
      <c r="AB63" s="7"/>
      <c r="AC63" s="7"/>
      <c r="AD63" s="7"/>
      <c r="AE63" s="7"/>
      <c r="AF63" s="7"/>
      <c r="AG63" s="7"/>
      <c r="AH63" s="121">
        <v>1</v>
      </c>
      <c r="AI63" s="124"/>
      <c r="AJ63" s="124"/>
      <c r="AK63" s="124"/>
      <c r="AL63" s="124"/>
      <c r="AM63" s="124"/>
      <c r="AN63" s="124"/>
      <c r="AO63" s="124"/>
      <c r="AP63" s="124"/>
      <c r="AQ63" s="125">
        <v>460.4</v>
      </c>
      <c r="AR63" s="125">
        <v>1854</v>
      </c>
      <c r="AS63" s="126"/>
      <c r="AT63" s="126"/>
      <c r="AU63" s="127"/>
      <c r="AV63" s="127"/>
      <c r="AW63" s="127"/>
      <c r="AX63" s="127"/>
      <c r="AY63" s="127"/>
      <c r="AZ63" s="125">
        <v>0</v>
      </c>
      <c r="BA63" s="125">
        <v>30.6</v>
      </c>
      <c r="BB63" s="127"/>
      <c r="BC63" s="127"/>
      <c r="BD63" s="127"/>
      <c r="BE63" s="127"/>
      <c r="BF63" s="127"/>
      <c r="BG63" s="127"/>
      <c r="BH63" s="127"/>
      <c r="BI63" s="125">
        <v>33.03</v>
      </c>
      <c r="BJ63" s="125">
        <v>52.67</v>
      </c>
      <c r="BK63" s="127"/>
      <c r="BL63" s="127"/>
      <c r="BM63" s="127"/>
      <c r="BN63" s="127"/>
      <c r="BO63" s="127"/>
      <c r="BP63" s="127"/>
      <c r="BQ63" s="127"/>
      <c r="BR63" s="125">
        <v>697.91</v>
      </c>
      <c r="BS63" s="125">
        <v>339.45</v>
      </c>
      <c r="BT63" s="127"/>
      <c r="BU63" s="127"/>
      <c r="BV63" s="127"/>
      <c r="BW63" s="127"/>
      <c r="BX63" s="127"/>
      <c r="BY63" s="127"/>
      <c r="BZ63" s="127"/>
      <c r="CA63" s="9">
        <v>41</v>
      </c>
      <c r="CB63" s="7">
        <v>43700</v>
      </c>
      <c r="CC63" s="9">
        <f t="shared" si="23"/>
        <v>-2</v>
      </c>
      <c r="CD63" s="9">
        <v>36</v>
      </c>
      <c r="CE63" s="137">
        <v>43767</v>
      </c>
      <c r="CF63" s="128">
        <f t="shared" si="24"/>
        <v>1</v>
      </c>
      <c r="CG63" s="128"/>
      <c r="CH63" s="8">
        <v>36</v>
      </c>
      <c r="CI63" s="5">
        <v>43767</v>
      </c>
      <c r="CJ63" s="18">
        <v>0</v>
      </c>
      <c r="CK63" s="8">
        <v>32</v>
      </c>
      <c r="CL63" s="5">
        <v>43795</v>
      </c>
      <c r="CM63" s="21">
        <v>1</v>
      </c>
      <c r="CN63" s="8"/>
      <c r="CO63" s="5"/>
      <c r="CP63" s="23"/>
      <c r="CQ63" s="39"/>
      <c r="CR63" s="46"/>
      <c r="CS63" s="24"/>
      <c r="CT63" s="39"/>
      <c r="CU63" s="46"/>
      <c r="CV63" s="29"/>
      <c r="CW63" s="9"/>
      <c r="CX63" s="7"/>
      <c r="CY63" s="9"/>
      <c r="CZ63" s="127">
        <f t="shared" si="25"/>
        <v>0.92307692307692313</v>
      </c>
      <c r="DA63" s="127">
        <f t="shared" si="26"/>
        <v>0.92307692307692313</v>
      </c>
      <c r="DB63" s="127">
        <f t="shared" si="27"/>
        <v>2.5</v>
      </c>
      <c r="DC63" s="127"/>
      <c r="DD63" s="127">
        <f t="shared" si="28"/>
        <v>4</v>
      </c>
      <c r="DE63" s="9">
        <f t="shared" si="29"/>
        <v>1</v>
      </c>
      <c r="DF63" s="127">
        <f t="shared" si="30"/>
        <v>3</v>
      </c>
      <c r="DG63" s="9">
        <f t="shared" si="31"/>
        <v>3</v>
      </c>
      <c r="DH63" s="129">
        <f t="shared" si="32"/>
        <v>1.5</v>
      </c>
      <c r="DI63" s="129"/>
      <c r="DJ63" s="129">
        <f t="shared" si="33"/>
        <v>2.0769230769230766</v>
      </c>
      <c r="DK63" s="9"/>
      <c r="DL63" s="7"/>
      <c r="DM63" s="9"/>
      <c r="DN63" s="7"/>
      <c r="DO63" s="9">
        <f t="shared" si="34"/>
        <v>11</v>
      </c>
      <c r="DP63" s="114">
        <f t="shared" si="35"/>
        <v>13</v>
      </c>
      <c r="DQ63" s="114">
        <f t="shared" si="36"/>
        <v>2</v>
      </c>
      <c r="DR63" s="131">
        <v>1</v>
      </c>
      <c r="DS63" s="145"/>
      <c r="DT63" s="145"/>
      <c r="DU63" s="145"/>
      <c r="DV63" s="145"/>
      <c r="DW63" s="145"/>
      <c r="DX63" s="145"/>
      <c r="DY63" s="145"/>
      <c r="DZ63" s="145"/>
      <c r="EA63" s="145"/>
      <c r="EB63" s="145"/>
      <c r="EC63" s="145"/>
      <c r="ED63" s="145"/>
      <c r="EE63" s="145"/>
      <c r="EF63" s="136"/>
    </row>
    <row r="64" spans="1:136">
      <c r="A64" s="112">
        <v>2624</v>
      </c>
      <c r="B64" s="153" t="s">
        <v>311</v>
      </c>
      <c r="C64" s="146">
        <v>2775721</v>
      </c>
      <c r="D64" s="115" t="s">
        <v>376</v>
      </c>
      <c r="E64" s="111">
        <v>241</v>
      </c>
      <c r="F64" s="112" t="s">
        <v>313</v>
      </c>
      <c r="G64" s="112"/>
      <c r="H64" s="112" t="s">
        <v>314</v>
      </c>
      <c r="I64" s="112"/>
      <c r="J64" s="113">
        <v>43734</v>
      </c>
      <c r="K64" s="114">
        <v>23</v>
      </c>
      <c r="L64" s="112">
        <v>1</v>
      </c>
      <c r="M64" s="113">
        <v>43191</v>
      </c>
      <c r="N64" s="112">
        <v>2</v>
      </c>
      <c r="O64" s="137">
        <v>43770</v>
      </c>
      <c r="P64" s="5">
        <v>43797</v>
      </c>
      <c r="Q64" s="179"/>
      <c r="R64" s="112"/>
      <c r="S64" s="112"/>
      <c r="T64" s="112"/>
      <c r="U64" s="112"/>
      <c r="V64" s="112"/>
      <c r="W64" s="112"/>
      <c r="X64" s="112"/>
      <c r="Y64" s="180">
        <v>43770</v>
      </c>
      <c r="Z64" s="180">
        <v>43797</v>
      </c>
      <c r="AA64" s="7"/>
      <c r="AB64" s="7"/>
      <c r="AC64" s="7"/>
      <c r="AD64" s="7"/>
      <c r="AE64" s="7"/>
      <c r="AF64" s="7"/>
      <c r="AG64" s="7"/>
      <c r="AH64" s="121">
        <v>1</v>
      </c>
      <c r="AI64" s="124"/>
      <c r="AJ64" s="121"/>
      <c r="AK64" s="124"/>
      <c r="AL64" s="124"/>
      <c r="AM64" s="124"/>
      <c r="AN64" s="124"/>
      <c r="AO64" s="124"/>
      <c r="AP64" s="124"/>
      <c r="AQ64" s="125">
        <v>848</v>
      </c>
      <c r="AR64" s="125">
        <v>880.90000000000009</v>
      </c>
      <c r="AS64" s="126"/>
      <c r="AT64" s="126"/>
      <c r="AU64" s="127"/>
      <c r="AV64" s="127"/>
      <c r="AW64" s="127"/>
      <c r="AX64" s="127"/>
      <c r="AY64" s="127"/>
      <c r="AZ64" s="125">
        <v>1.6500000000000001</v>
      </c>
      <c r="BA64" s="125">
        <v>2.15</v>
      </c>
      <c r="BB64" s="127"/>
      <c r="BC64" s="127"/>
      <c r="BD64" s="127"/>
      <c r="BE64" s="127"/>
      <c r="BF64" s="127"/>
      <c r="BG64" s="127"/>
      <c r="BH64" s="127"/>
      <c r="BI64" s="125">
        <v>36.1</v>
      </c>
      <c r="BJ64" s="125">
        <v>40.79</v>
      </c>
      <c r="BK64" s="127"/>
      <c r="BL64" s="127"/>
      <c r="BM64" s="127"/>
      <c r="BN64" s="127"/>
      <c r="BO64" s="127"/>
      <c r="BP64" s="127"/>
      <c r="BQ64" s="127"/>
      <c r="BR64" s="125">
        <v>1904.35</v>
      </c>
      <c r="BS64" s="125">
        <v>1346.32</v>
      </c>
      <c r="BT64" s="127"/>
      <c r="BU64" s="127"/>
      <c r="BV64" s="127"/>
      <c r="BW64" s="127"/>
      <c r="BX64" s="127"/>
      <c r="BY64" s="127"/>
      <c r="BZ64" s="127"/>
      <c r="CA64" s="9">
        <v>23</v>
      </c>
      <c r="CB64" s="7">
        <v>43734</v>
      </c>
      <c r="CC64" s="9">
        <f t="shared" si="23"/>
        <v>-1</v>
      </c>
      <c r="CD64" s="9">
        <v>22</v>
      </c>
      <c r="CE64" s="137">
        <v>43770</v>
      </c>
      <c r="CF64" s="128">
        <f t="shared" si="24"/>
        <v>1</v>
      </c>
      <c r="CG64" s="128"/>
      <c r="CH64" s="8">
        <v>22</v>
      </c>
      <c r="CI64" s="5">
        <v>43770</v>
      </c>
      <c r="CJ64" s="18">
        <v>0</v>
      </c>
      <c r="CK64" s="8">
        <v>22</v>
      </c>
      <c r="CL64" s="5">
        <v>43797</v>
      </c>
      <c r="CM64" s="21">
        <v>1</v>
      </c>
      <c r="CN64" s="41"/>
      <c r="CO64" s="42"/>
      <c r="CP64" s="23"/>
      <c r="CQ64" s="39"/>
      <c r="CR64" s="46"/>
      <c r="CS64" s="24"/>
      <c r="CT64" s="39"/>
      <c r="CU64" s="46"/>
      <c r="CV64" s="29"/>
      <c r="CW64" s="9"/>
      <c r="CX64" s="7"/>
      <c r="CY64" s="9"/>
      <c r="CZ64" s="127">
        <f t="shared" si="25"/>
        <v>1.368421052631579</v>
      </c>
      <c r="DA64" s="127">
        <f t="shared" si="26"/>
        <v>1.368421052631579</v>
      </c>
      <c r="DB64" s="127">
        <f t="shared" si="27"/>
        <v>1</v>
      </c>
      <c r="DC64" s="127"/>
      <c r="DD64" s="127">
        <f t="shared" si="28"/>
        <v>0</v>
      </c>
      <c r="DE64" s="9">
        <f t="shared" si="29"/>
        <v>1</v>
      </c>
      <c r="DF64" s="127">
        <f t="shared" si="30"/>
        <v>0.5</v>
      </c>
      <c r="DG64" s="9">
        <f t="shared" si="31"/>
        <v>2</v>
      </c>
      <c r="DH64" s="129">
        <f t="shared" si="32"/>
        <v>-1</v>
      </c>
      <c r="DI64" s="129"/>
      <c r="DJ64" s="129">
        <f t="shared" si="33"/>
        <v>-0.86842105263157898</v>
      </c>
      <c r="DK64" s="9"/>
      <c r="DL64" s="7"/>
      <c r="DM64" s="9"/>
      <c r="DN64" s="7"/>
      <c r="DO64" s="9">
        <f t="shared" si="34"/>
        <v>18</v>
      </c>
      <c r="DP64" s="114">
        <f t="shared" si="35"/>
        <v>19</v>
      </c>
      <c r="DQ64" s="114">
        <f t="shared" si="36"/>
        <v>1</v>
      </c>
      <c r="DR64" s="131">
        <v>1</v>
      </c>
      <c r="DS64" s="145"/>
      <c r="DT64" s="145"/>
      <c r="DU64" s="145"/>
      <c r="DV64" s="145"/>
      <c r="DW64" s="145"/>
      <c r="DX64" s="145"/>
      <c r="DY64" s="145"/>
      <c r="DZ64" s="145"/>
      <c r="EA64" s="145"/>
      <c r="EB64" s="145"/>
      <c r="EC64" s="145"/>
      <c r="ED64" s="145"/>
      <c r="EE64" s="145"/>
      <c r="EF64" s="136"/>
    </row>
    <row r="65" spans="1:136">
      <c r="A65" s="112">
        <v>2403</v>
      </c>
      <c r="B65" s="153" t="s">
        <v>311</v>
      </c>
      <c r="C65" s="146">
        <v>2740272</v>
      </c>
      <c r="D65" s="115" t="s">
        <v>377</v>
      </c>
      <c r="E65" s="111">
        <v>200</v>
      </c>
      <c r="F65" s="112" t="s">
        <v>313</v>
      </c>
      <c r="G65" s="112">
        <v>1</v>
      </c>
      <c r="H65" s="112" t="s">
        <v>319</v>
      </c>
      <c r="I65" s="112"/>
      <c r="J65" s="113">
        <v>43455</v>
      </c>
      <c r="K65" s="114">
        <v>34</v>
      </c>
      <c r="L65" s="112">
        <v>0</v>
      </c>
      <c r="M65" s="113">
        <v>43221</v>
      </c>
      <c r="N65" s="112">
        <v>2</v>
      </c>
      <c r="O65" s="137">
        <v>43483</v>
      </c>
      <c r="P65" s="5">
        <v>43509</v>
      </c>
      <c r="Q65" s="179"/>
      <c r="R65" s="112"/>
      <c r="S65" s="112"/>
      <c r="T65" s="112"/>
      <c r="U65" s="112"/>
      <c r="V65" s="112"/>
      <c r="W65" s="112"/>
      <c r="X65" s="112"/>
      <c r="Y65" s="140">
        <v>43483</v>
      </c>
      <c r="Z65" s="140">
        <v>43509</v>
      </c>
      <c r="AA65" s="7"/>
      <c r="AB65" s="7"/>
      <c r="AC65" s="7"/>
      <c r="AD65" s="7"/>
      <c r="AE65" s="7"/>
      <c r="AF65" s="7"/>
      <c r="AG65" s="7"/>
      <c r="AH65" s="121">
        <v>1</v>
      </c>
      <c r="AI65" s="124"/>
      <c r="AJ65" s="124"/>
      <c r="AK65" s="124"/>
      <c r="AL65" s="124"/>
      <c r="AM65" s="124"/>
      <c r="AN65" s="121"/>
      <c r="AO65" s="121"/>
      <c r="AP65" s="121"/>
      <c r="AQ65" s="125">
        <v>1206.9000000000001</v>
      </c>
      <c r="AR65" s="125">
        <v>1066.2</v>
      </c>
      <c r="AS65" s="126"/>
      <c r="AT65" s="126"/>
      <c r="AU65" s="127"/>
      <c r="AV65" s="127"/>
      <c r="AW65" s="127"/>
      <c r="AX65" s="127"/>
      <c r="AY65" s="127"/>
      <c r="AZ65" s="125">
        <v>2.6</v>
      </c>
      <c r="BA65" s="125">
        <v>4.1399999999999997</v>
      </c>
      <c r="BB65" s="127"/>
      <c r="BC65" s="127"/>
      <c r="BD65" s="127"/>
      <c r="BE65" s="127"/>
      <c r="BF65" s="127"/>
      <c r="BG65" s="127"/>
      <c r="BH65" s="127"/>
      <c r="BI65" s="125">
        <v>51.48</v>
      </c>
      <c r="BJ65" s="125">
        <v>42.15</v>
      </c>
      <c r="BK65" s="127"/>
      <c r="BL65" s="127"/>
      <c r="BM65" s="127"/>
      <c r="BN65" s="127"/>
      <c r="BO65" s="127"/>
      <c r="BP65" s="127"/>
      <c r="BQ65" s="127"/>
      <c r="BR65" s="125">
        <v>1100.9000000000001</v>
      </c>
      <c r="BS65" s="125">
        <v>741.56</v>
      </c>
      <c r="BT65" s="127"/>
      <c r="BU65" s="127"/>
      <c r="BV65" s="127"/>
      <c r="BW65" s="127"/>
      <c r="BX65" s="127"/>
      <c r="BY65" s="127"/>
      <c r="BZ65" s="127"/>
      <c r="CA65" s="9">
        <v>34</v>
      </c>
      <c r="CB65" s="7">
        <v>43455</v>
      </c>
      <c r="CC65" s="9">
        <f t="shared" si="23"/>
        <v>-1</v>
      </c>
      <c r="CD65" s="9">
        <v>33</v>
      </c>
      <c r="CE65" s="137">
        <v>43483</v>
      </c>
      <c r="CF65" s="128">
        <f t="shared" si="24"/>
        <v>1</v>
      </c>
      <c r="CG65" s="128"/>
      <c r="CH65" s="39">
        <v>33</v>
      </c>
      <c r="CI65" s="40">
        <v>43483</v>
      </c>
      <c r="CJ65" s="18">
        <v>0</v>
      </c>
      <c r="CK65" s="39">
        <v>31</v>
      </c>
      <c r="CL65" s="40">
        <v>43509</v>
      </c>
      <c r="CM65" s="21">
        <v>1</v>
      </c>
      <c r="CN65" s="41"/>
      <c r="CO65" s="42"/>
      <c r="CP65" s="23"/>
      <c r="CQ65" s="39"/>
      <c r="CR65" s="46"/>
      <c r="CS65" s="24"/>
      <c r="CT65" s="39"/>
      <c r="CU65" s="46"/>
      <c r="CV65" s="29"/>
      <c r="CW65" s="9"/>
      <c r="CX65" s="7"/>
      <c r="CY65" s="9"/>
      <c r="CZ65" s="127">
        <f t="shared" si="25"/>
        <v>1.6666666666666667</v>
      </c>
      <c r="DA65" s="127">
        <f t="shared" si="26"/>
        <v>1.6666666666666667</v>
      </c>
      <c r="DB65" s="127">
        <f t="shared" si="27"/>
        <v>1</v>
      </c>
      <c r="DC65" s="127"/>
      <c r="DD65" s="127">
        <f t="shared" si="28"/>
        <v>2</v>
      </c>
      <c r="DE65" s="9">
        <f t="shared" si="29"/>
        <v>1</v>
      </c>
      <c r="DF65" s="127">
        <f t="shared" si="30"/>
        <v>1.5</v>
      </c>
      <c r="DG65" s="9">
        <f t="shared" si="31"/>
        <v>2</v>
      </c>
      <c r="DH65" s="129">
        <f t="shared" si="32"/>
        <v>1</v>
      </c>
      <c r="DI65" s="129"/>
      <c r="DJ65" s="129">
        <f t="shared" si="33"/>
        <v>-0.16666666666666674</v>
      </c>
      <c r="DK65" s="9"/>
      <c r="DL65" s="7"/>
      <c r="DM65" s="9"/>
      <c r="DN65" s="7"/>
      <c r="DO65" s="9">
        <f t="shared" si="34"/>
        <v>8</v>
      </c>
      <c r="DP65" s="114">
        <f t="shared" si="35"/>
        <v>9</v>
      </c>
      <c r="DQ65" s="114">
        <f t="shared" si="36"/>
        <v>1</v>
      </c>
      <c r="DR65" s="131">
        <v>1</v>
      </c>
      <c r="DS65" s="145"/>
      <c r="DT65" s="145"/>
      <c r="DU65" s="145"/>
      <c r="DV65" s="145"/>
      <c r="DW65" s="145"/>
      <c r="DX65" s="145"/>
      <c r="DY65" s="145"/>
      <c r="DZ65" s="145"/>
      <c r="EA65" s="145"/>
      <c r="EB65" s="145"/>
      <c r="EC65" s="145"/>
      <c r="ED65" s="145"/>
      <c r="EE65" s="145"/>
      <c r="EF65" s="136"/>
    </row>
    <row r="66" spans="1:136">
      <c r="A66" s="112">
        <v>2562</v>
      </c>
      <c r="B66" s="153" t="s">
        <v>311</v>
      </c>
      <c r="C66" s="146">
        <v>2763717</v>
      </c>
      <c r="D66" s="115" t="s">
        <v>378</v>
      </c>
      <c r="E66" s="111">
        <v>232</v>
      </c>
      <c r="F66" s="112" t="s">
        <v>313</v>
      </c>
      <c r="G66" s="112">
        <v>1</v>
      </c>
      <c r="H66" s="112" t="s">
        <v>314</v>
      </c>
      <c r="I66" s="112"/>
      <c r="J66" s="113">
        <v>43644</v>
      </c>
      <c r="K66" s="114">
        <v>39</v>
      </c>
      <c r="L66" s="112">
        <v>0</v>
      </c>
      <c r="M66" s="113">
        <v>42979</v>
      </c>
      <c r="N66" s="112">
        <v>2</v>
      </c>
      <c r="O66" s="137">
        <v>43672</v>
      </c>
      <c r="P66" s="5">
        <v>43698</v>
      </c>
      <c r="Q66" s="179"/>
      <c r="R66" s="112"/>
      <c r="S66" s="112"/>
      <c r="T66" s="112"/>
      <c r="U66" s="112"/>
      <c r="V66" s="112"/>
      <c r="W66" s="112"/>
      <c r="X66" s="112"/>
      <c r="Y66" s="180">
        <v>43672</v>
      </c>
      <c r="Z66" s="180">
        <v>43698</v>
      </c>
      <c r="AA66" s="7"/>
      <c r="AB66" s="7"/>
      <c r="AC66" s="7"/>
      <c r="AD66" s="7"/>
      <c r="AE66" s="7"/>
      <c r="AF66" s="7"/>
      <c r="AG66" s="7"/>
      <c r="AH66" s="121">
        <v>1</v>
      </c>
      <c r="AI66" s="124"/>
      <c r="AJ66" s="121"/>
      <c r="AK66" s="124"/>
      <c r="AL66" s="124"/>
      <c r="AM66" s="124"/>
      <c r="AN66" s="124"/>
      <c r="AO66" s="124"/>
      <c r="AP66" s="124"/>
      <c r="AQ66" s="125">
        <v>1729.3000000000002</v>
      </c>
      <c r="AR66" s="125">
        <v>2488.6000000000004</v>
      </c>
      <c r="AS66" s="126"/>
      <c r="AT66" s="126"/>
      <c r="AU66" s="127"/>
      <c r="AV66" s="127"/>
      <c r="AW66" s="127"/>
      <c r="AX66" s="127"/>
      <c r="AY66" s="127"/>
      <c r="AZ66" s="125">
        <v>3.07</v>
      </c>
      <c r="BA66" s="125">
        <v>2.93</v>
      </c>
      <c r="BB66" s="127"/>
      <c r="BC66" s="127"/>
      <c r="BD66" s="127"/>
      <c r="BE66" s="127"/>
      <c r="BF66" s="127"/>
      <c r="BG66" s="127"/>
      <c r="BH66" s="127"/>
      <c r="BI66" s="125">
        <v>63.21</v>
      </c>
      <c r="BJ66" s="125">
        <v>47.53</v>
      </c>
      <c r="BK66" s="127"/>
      <c r="BL66" s="127"/>
      <c r="BM66" s="127"/>
      <c r="BN66" s="127"/>
      <c r="BO66" s="127"/>
      <c r="BP66" s="127"/>
      <c r="BQ66" s="127"/>
      <c r="BR66" s="125">
        <v>905.65</v>
      </c>
      <c r="BS66" s="125">
        <v>779.67</v>
      </c>
      <c r="BT66" s="127"/>
      <c r="BU66" s="127"/>
      <c r="BV66" s="127"/>
      <c r="BW66" s="127"/>
      <c r="BX66" s="127"/>
      <c r="BY66" s="127"/>
      <c r="BZ66" s="127"/>
      <c r="CA66" s="9">
        <v>39</v>
      </c>
      <c r="CB66" s="7">
        <v>43644</v>
      </c>
      <c r="CC66" s="9">
        <f t="shared" ref="CC66:CC93" si="37">ROUND((CB66-Y66)/30.5,0)</f>
        <v>-1</v>
      </c>
      <c r="CD66" s="9">
        <v>39</v>
      </c>
      <c r="CE66" s="137">
        <v>43672</v>
      </c>
      <c r="CF66" s="128">
        <f t="shared" ref="CF66:CF74" si="38">ROUND((CL66-CE66)/30.5,0)</f>
        <v>1</v>
      </c>
      <c r="CG66" s="128"/>
      <c r="CH66" s="39">
        <v>39</v>
      </c>
      <c r="CI66" s="40">
        <v>43672</v>
      </c>
      <c r="CJ66" s="18">
        <v>0</v>
      </c>
      <c r="CK66" s="39">
        <v>38</v>
      </c>
      <c r="CL66" s="40">
        <v>43698</v>
      </c>
      <c r="CM66" s="21">
        <v>1</v>
      </c>
      <c r="CN66" s="41"/>
      <c r="CO66" s="42"/>
      <c r="CP66" s="23"/>
      <c r="CQ66" s="39"/>
      <c r="CR66" s="46"/>
      <c r="CS66" s="24"/>
      <c r="CT66" s="39"/>
      <c r="CU66" s="46"/>
      <c r="CV66" s="29"/>
      <c r="CW66" s="9"/>
      <c r="CX66" s="7"/>
      <c r="CY66" s="9"/>
      <c r="CZ66" s="127">
        <f t="shared" ref="CZ66:CZ93" si="39">(48-CH66)/DP66</f>
        <v>0.39130434782608697</v>
      </c>
      <c r="DA66" s="127">
        <f t="shared" ref="DA66:DA93" si="40">(48-CD66)/DP66</f>
        <v>0.39130434782608697</v>
      </c>
      <c r="DB66" s="127">
        <f t="shared" ref="DB66:DB93" si="41">(CA66-CD66)/DQ66</f>
        <v>0</v>
      </c>
      <c r="DC66" s="127"/>
      <c r="DD66" s="127">
        <f t="shared" ref="DD66:DD73" si="42">((CH66-MIN(CA66,CH66,CK66,CN66,CQ66,CT66,CW66)))/DE66</f>
        <v>1</v>
      </c>
      <c r="DE66" s="9">
        <f t="shared" ref="DE66:DE73" si="43">ROUND((MAX(CI66,CL66,CO66,CR66,CU66,CX66)-CI66)/30.5,0)</f>
        <v>1</v>
      </c>
      <c r="DF66" s="127">
        <f t="shared" ref="DF66:DF73" si="44">((CA66-MIN(CA66,CH66,CK66,CN66,CQ66,CT66,CW66)))/DG66</f>
        <v>0.5</v>
      </c>
      <c r="DG66" s="9">
        <f t="shared" ref="DG66:DG73" si="45">ROUND((MAX(CI66,CL66,CO66,CR66,CU66,CX66)-CB66)/30.5,0)</f>
        <v>2</v>
      </c>
      <c r="DH66" s="129">
        <f t="shared" ref="DH66:DH93" si="46">DD66-DB66</f>
        <v>1</v>
      </c>
      <c r="DI66" s="129"/>
      <c r="DJ66" s="129">
        <f t="shared" ref="DJ66:DJ93" si="47">DF66-CZ66</f>
        <v>0.10869565217391303</v>
      </c>
      <c r="DK66" s="9"/>
      <c r="DL66" s="7"/>
      <c r="DM66" s="9"/>
      <c r="DN66" s="7"/>
      <c r="DO66" s="9">
        <f t="shared" ref="DO66:DO93" si="48">ROUND((CB66-M66)/30.5,0)</f>
        <v>22</v>
      </c>
      <c r="DP66" s="114">
        <f t="shared" ref="DP66:DP93" si="49">ROUND((CI66-M66)/30.5,0)</f>
        <v>23</v>
      </c>
      <c r="DQ66" s="114">
        <f t="shared" ref="DQ66:DQ93" si="50">ROUND((CE66-CB66)/30.5,0)</f>
        <v>1</v>
      </c>
      <c r="DR66" s="131">
        <v>1</v>
      </c>
      <c r="DS66" s="145"/>
      <c r="DT66" s="145"/>
      <c r="DU66" s="145"/>
      <c r="DV66" s="145"/>
      <c r="DW66" s="145"/>
      <c r="DX66" s="145"/>
      <c r="DY66" s="145"/>
      <c r="DZ66" s="145"/>
      <c r="EA66" s="145"/>
      <c r="EB66" s="145"/>
      <c r="EC66" s="145"/>
      <c r="ED66" s="145"/>
      <c r="EE66" s="145"/>
      <c r="EF66" s="136"/>
    </row>
    <row r="67" spans="1:136">
      <c r="A67" s="112">
        <v>1640</v>
      </c>
      <c r="B67" s="108" t="s">
        <v>51</v>
      </c>
      <c r="C67" s="146">
        <v>2601358</v>
      </c>
      <c r="D67" s="112" t="s">
        <v>379</v>
      </c>
      <c r="E67" s="111">
        <v>100</v>
      </c>
      <c r="F67" s="112" t="s">
        <v>318</v>
      </c>
      <c r="G67" s="112"/>
      <c r="H67" s="112" t="s">
        <v>319</v>
      </c>
      <c r="I67" s="112"/>
      <c r="J67" s="113">
        <v>42293</v>
      </c>
      <c r="K67" s="114">
        <v>45</v>
      </c>
      <c r="L67" s="112">
        <v>4</v>
      </c>
      <c r="M67" s="113">
        <v>42095</v>
      </c>
      <c r="N67" s="112">
        <v>2</v>
      </c>
      <c r="O67" s="137">
        <v>42440</v>
      </c>
      <c r="P67" s="5">
        <v>42466</v>
      </c>
      <c r="Q67" s="179"/>
      <c r="R67" s="112"/>
      <c r="S67" s="112"/>
      <c r="T67" s="112"/>
      <c r="U67" s="112"/>
      <c r="V67" s="112"/>
      <c r="W67" s="112"/>
      <c r="X67" s="112"/>
      <c r="Y67" s="140" t="s">
        <v>133</v>
      </c>
      <c r="Z67" s="140" t="s">
        <v>134</v>
      </c>
      <c r="AA67" s="7"/>
      <c r="AB67" s="7"/>
      <c r="AC67" s="7"/>
      <c r="AD67" s="7"/>
      <c r="AE67" s="7"/>
      <c r="AF67" s="7"/>
      <c r="AG67" s="7"/>
      <c r="AH67" s="121">
        <v>1</v>
      </c>
      <c r="AI67" s="124"/>
      <c r="AJ67" s="124"/>
      <c r="AK67" s="124"/>
      <c r="AL67" s="124"/>
      <c r="AM67" s="124"/>
      <c r="AN67" s="121"/>
      <c r="AO67" s="121"/>
      <c r="AP67" s="121"/>
      <c r="AQ67" s="125">
        <v>940.80000000000007</v>
      </c>
      <c r="AR67" s="125">
        <v>1370.11</v>
      </c>
      <c r="AS67" s="126"/>
      <c r="AT67" s="126"/>
      <c r="AU67" s="127"/>
      <c r="AV67" s="127"/>
      <c r="AW67" s="127"/>
      <c r="AX67" s="127"/>
      <c r="AY67" s="127"/>
      <c r="AZ67" s="125">
        <v>1.48</v>
      </c>
      <c r="BA67" s="125">
        <v>1.93</v>
      </c>
      <c r="BB67" s="127"/>
      <c r="BC67" s="127"/>
      <c r="BD67" s="127"/>
      <c r="BE67" s="127"/>
      <c r="BF67" s="127"/>
      <c r="BG67" s="127"/>
      <c r="BH67" s="127"/>
      <c r="BI67" s="125">
        <v>45.66</v>
      </c>
      <c r="BJ67" s="125">
        <v>88.53</v>
      </c>
      <c r="BK67" s="127"/>
      <c r="BL67" s="127"/>
      <c r="BM67" s="127"/>
      <c r="BN67" s="127"/>
      <c r="BO67" s="127"/>
      <c r="BP67" s="127"/>
      <c r="BQ67" s="127"/>
      <c r="BR67" s="125">
        <v>1006.5</v>
      </c>
      <c r="BS67" s="125">
        <v>494.38</v>
      </c>
      <c r="BT67" s="127"/>
      <c r="BU67" s="127"/>
      <c r="BV67" s="127"/>
      <c r="BW67" s="127"/>
      <c r="BX67" s="127"/>
      <c r="BY67" s="127"/>
      <c r="BZ67" s="127"/>
      <c r="CA67" s="9">
        <v>45</v>
      </c>
      <c r="CB67" s="7">
        <v>42293</v>
      </c>
      <c r="CC67" s="9">
        <f t="shared" si="37"/>
        <v>-5</v>
      </c>
      <c r="CD67" s="9">
        <v>41</v>
      </c>
      <c r="CE67" s="137">
        <v>42440</v>
      </c>
      <c r="CF67" s="128">
        <f t="shared" si="38"/>
        <v>4</v>
      </c>
      <c r="CG67" s="128"/>
      <c r="CH67" s="39">
        <v>41</v>
      </c>
      <c r="CI67" s="40">
        <v>42440</v>
      </c>
      <c r="CJ67" s="18">
        <v>0</v>
      </c>
      <c r="CK67" s="39">
        <v>39</v>
      </c>
      <c r="CL67" s="40">
        <v>42569</v>
      </c>
      <c r="CM67" s="21">
        <v>4</v>
      </c>
      <c r="CN67" s="41"/>
      <c r="CO67" s="42"/>
      <c r="CP67" s="23"/>
      <c r="CQ67" s="39">
        <v>24</v>
      </c>
      <c r="CR67" s="46">
        <v>42821</v>
      </c>
      <c r="CS67" s="24">
        <v>13</v>
      </c>
      <c r="CT67" s="8"/>
      <c r="CU67" s="6"/>
      <c r="CV67" s="9"/>
      <c r="CW67" s="27"/>
      <c r="CX67" s="27"/>
      <c r="CY67" s="28"/>
      <c r="CZ67" s="127">
        <f t="shared" si="39"/>
        <v>0.63636363636363635</v>
      </c>
      <c r="DA67" s="127">
        <f t="shared" si="40"/>
        <v>0.63636363636363635</v>
      </c>
      <c r="DB67" s="127">
        <f t="shared" si="41"/>
        <v>0.8</v>
      </c>
      <c r="DC67" s="127"/>
      <c r="DD67" s="127">
        <f t="shared" si="42"/>
        <v>1.4166666666666667</v>
      </c>
      <c r="DE67" s="9">
        <f t="shared" si="43"/>
        <v>12</v>
      </c>
      <c r="DF67" s="127">
        <f t="shared" si="44"/>
        <v>1.2352941176470589</v>
      </c>
      <c r="DG67" s="9">
        <f t="shared" si="45"/>
        <v>17</v>
      </c>
      <c r="DH67" s="129">
        <f t="shared" si="46"/>
        <v>0.6166666666666667</v>
      </c>
      <c r="DI67" s="129"/>
      <c r="DJ67" s="129">
        <f t="shared" si="47"/>
        <v>0.59893048128342252</v>
      </c>
      <c r="DK67" s="9"/>
      <c r="DL67" s="7"/>
      <c r="DM67" s="9"/>
      <c r="DN67" s="7"/>
      <c r="DO67" s="9">
        <f t="shared" si="48"/>
        <v>6</v>
      </c>
      <c r="DP67" s="114">
        <f t="shared" si="49"/>
        <v>11</v>
      </c>
      <c r="DQ67" s="114">
        <f t="shared" si="50"/>
        <v>5</v>
      </c>
      <c r="DR67" s="131">
        <v>1</v>
      </c>
      <c r="DS67" s="145"/>
      <c r="DT67" s="145"/>
      <c r="DU67" s="145"/>
      <c r="DV67" s="145"/>
      <c r="DW67" s="145"/>
      <c r="DX67" s="145"/>
      <c r="DY67" s="145"/>
      <c r="DZ67" s="145"/>
      <c r="EA67" s="145"/>
      <c r="EB67" s="145"/>
      <c r="EC67" s="145"/>
      <c r="ED67" s="145"/>
      <c r="EE67" s="145"/>
      <c r="EF67" s="136"/>
    </row>
    <row r="68" spans="1:136">
      <c r="A68" s="112">
        <v>2596</v>
      </c>
      <c r="B68" s="142" t="s">
        <v>52</v>
      </c>
      <c r="C68" s="146">
        <v>2771463</v>
      </c>
      <c r="D68" s="115" t="s">
        <v>380</v>
      </c>
      <c r="E68" s="111">
        <v>239</v>
      </c>
      <c r="F68" s="112" t="s">
        <v>313</v>
      </c>
      <c r="G68" s="112"/>
      <c r="H68" s="112" t="s">
        <v>314</v>
      </c>
      <c r="I68" s="112"/>
      <c r="J68" s="113">
        <v>43693</v>
      </c>
      <c r="K68" s="114">
        <v>23</v>
      </c>
      <c r="L68" s="112">
        <v>2</v>
      </c>
      <c r="M68" s="113">
        <v>42383</v>
      </c>
      <c r="N68" s="112">
        <v>2</v>
      </c>
      <c r="O68" s="137">
        <v>43763</v>
      </c>
      <c r="P68" s="5">
        <v>43791</v>
      </c>
      <c r="Q68" s="179"/>
      <c r="R68" s="112"/>
      <c r="S68" s="112"/>
      <c r="T68" s="112"/>
      <c r="U68" s="112"/>
      <c r="V68" s="112"/>
      <c r="W68" s="112"/>
      <c r="X68" s="112"/>
      <c r="Y68" s="180">
        <v>43763</v>
      </c>
      <c r="Z68" s="180">
        <v>43791</v>
      </c>
      <c r="AA68" s="7"/>
      <c r="AB68" s="7"/>
      <c r="AC68" s="7"/>
      <c r="AD68" s="7"/>
      <c r="AE68" s="7"/>
      <c r="AF68" s="7"/>
      <c r="AG68" s="7"/>
      <c r="AH68" s="121">
        <v>1</v>
      </c>
      <c r="AI68" s="124"/>
      <c r="AJ68" s="124"/>
      <c r="AK68" s="124"/>
      <c r="AL68" s="124"/>
      <c r="AM68" s="124"/>
      <c r="AN68" s="121"/>
      <c r="AO68" s="121"/>
      <c r="AP68" s="121"/>
      <c r="AQ68" s="125">
        <v>874</v>
      </c>
      <c r="AR68" s="125">
        <v>1281.2</v>
      </c>
      <c r="AS68" s="126"/>
      <c r="AT68" s="126"/>
      <c r="AU68" s="127"/>
      <c r="AV68" s="127"/>
      <c r="AW68" s="127"/>
      <c r="AX68" s="127"/>
      <c r="AY68" s="127"/>
      <c r="AZ68" s="125">
        <v>2.1</v>
      </c>
      <c r="BA68" s="125">
        <v>2.2400000000000002</v>
      </c>
      <c r="BB68" s="127"/>
      <c r="BC68" s="127"/>
      <c r="BD68" s="127"/>
      <c r="BE68" s="127"/>
      <c r="BF68" s="127"/>
      <c r="BG68" s="127"/>
      <c r="BH68" s="127"/>
      <c r="BI68" s="125">
        <v>47.32</v>
      </c>
      <c r="BJ68" s="125">
        <v>55.19</v>
      </c>
      <c r="BK68" s="127"/>
      <c r="BL68" s="127"/>
      <c r="BM68" s="127"/>
      <c r="BN68" s="127"/>
      <c r="BO68" s="127"/>
      <c r="BP68" s="127"/>
      <c r="BQ68" s="127"/>
      <c r="BR68" s="125">
        <v>1064.53</v>
      </c>
      <c r="BS68" s="125">
        <v>925.21</v>
      </c>
      <c r="BT68" s="127"/>
      <c r="BU68" s="127"/>
      <c r="BV68" s="127"/>
      <c r="BW68" s="127"/>
      <c r="BX68" s="127"/>
      <c r="BY68" s="127"/>
      <c r="BZ68" s="127"/>
      <c r="CA68" s="9">
        <v>23</v>
      </c>
      <c r="CB68" s="7">
        <v>43693</v>
      </c>
      <c r="CC68" s="9">
        <f t="shared" si="37"/>
        <v>-2</v>
      </c>
      <c r="CD68" s="9">
        <v>22</v>
      </c>
      <c r="CE68" s="137">
        <v>43763</v>
      </c>
      <c r="CF68" s="128">
        <f t="shared" si="38"/>
        <v>4</v>
      </c>
      <c r="CG68" s="128"/>
      <c r="CH68" s="39">
        <v>23</v>
      </c>
      <c r="CI68" s="40">
        <v>43693</v>
      </c>
      <c r="CJ68" s="18">
        <v>-2</v>
      </c>
      <c r="CK68" s="39">
        <v>21</v>
      </c>
      <c r="CL68" s="40">
        <v>43878</v>
      </c>
      <c r="CM68" s="21">
        <v>4</v>
      </c>
      <c r="CN68" s="41"/>
      <c r="CO68" s="42"/>
      <c r="CP68" s="23"/>
      <c r="CQ68" s="39"/>
      <c r="CR68" s="46"/>
      <c r="CS68" s="24"/>
      <c r="CT68" s="39"/>
      <c r="CU68" s="46"/>
      <c r="CV68" s="29"/>
      <c r="CW68" s="9"/>
      <c r="CX68" s="7"/>
      <c r="CY68" s="9"/>
      <c r="CZ68" s="127">
        <f t="shared" si="39"/>
        <v>0.58139534883720934</v>
      </c>
      <c r="DA68" s="127">
        <f t="shared" si="40"/>
        <v>0.60465116279069764</v>
      </c>
      <c r="DB68" s="127">
        <f t="shared" si="41"/>
        <v>0.5</v>
      </c>
      <c r="DC68" s="127"/>
      <c r="DD68" s="127">
        <f t="shared" si="42"/>
        <v>0.33333333333333331</v>
      </c>
      <c r="DE68" s="9">
        <f t="shared" si="43"/>
        <v>6</v>
      </c>
      <c r="DF68" s="127">
        <f t="shared" si="44"/>
        <v>0.33333333333333331</v>
      </c>
      <c r="DG68" s="9">
        <f t="shared" si="45"/>
        <v>6</v>
      </c>
      <c r="DH68" s="129">
        <f t="shared" si="46"/>
        <v>-0.16666666666666669</v>
      </c>
      <c r="DI68" s="129"/>
      <c r="DJ68" s="129">
        <f t="shared" si="47"/>
        <v>-0.24806201550387602</v>
      </c>
      <c r="DK68" s="9"/>
      <c r="DL68" s="7"/>
      <c r="DM68" s="9"/>
      <c r="DN68" s="7"/>
      <c r="DO68" s="9">
        <f t="shared" si="48"/>
        <v>43</v>
      </c>
      <c r="DP68" s="114">
        <f t="shared" si="49"/>
        <v>43</v>
      </c>
      <c r="DQ68" s="114">
        <f t="shared" si="50"/>
        <v>2</v>
      </c>
      <c r="DR68" s="131">
        <v>1</v>
      </c>
      <c r="DS68" s="145"/>
      <c r="DT68" s="145"/>
      <c r="DU68" s="145"/>
      <c r="DV68" s="145"/>
      <c r="DW68" s="145"/>
      <c r="DX68" s="145"/>
      <c r="DY68" s="145"/>
      <c r="DZ68" s="145"/>
      <c r="EA68" s="145"/>
      <c r="EB68" s="145"/>
      <c r="EC68" s="145"/>
      <c r="ED68" s="145"/>
      <c r="EE68" s="145"/>
      <c r="EF68" s="136"/>
    </row>
    <row r="69" spans="1:136">
      <c r="A69" s="112">
        <v>1134</v>
      </c>
      <c r="B69" s="153" t="s">
        <v>54</v>
      </c>
      <c r="C69" s="146">
        <v>2520650</v>
      </c>
      <c r="D69" s="112" t="s">
        <v>382</v>
      </c>
      <c r="E69" s="111">
        <v>29</v>
      </c>
      <c r="F69" s="112" t="s">
        <v>318</v>
      </c>
      <c r="G69" s="112"/>
      <c r="H69" s="112" t="s">
        <v>319</v>
      </c>
      <c r="I69" s="112"/>
      <c r="J69" s="113">
        <v>41661</v>
      </c>
      <c r="K69" s="114">
        <v>46</v>
      </c>
      <c r="L69" s="112">
        <v>15</v>
      </c>
      <c r="M69" s="113">
        <v>41426</v>
      </c>
      <c r="N69" s="112">
        <v>2</v>
      </c>
      <c r="O69" s="137">
        <v>42132</v>
      </c>
      <c r="P69" s="116">
        <v>42158</v>
      </c>
      <c r="Q69" s="179"/>
      <c r="R69" s="112"/>
      <c r="S69" s="112"/>
      <c r="T69" s="112"/>
      <c r="U69" s="112"/>
      <c r="V69" s="112"/>
      <c r="W69" s="112"/>
      <c r="X69" s="112"/>
      <c r="Y69" s="140" t="s">
        <v>149</v>
      </c>
      <c r="Z69" s="140" t="s">
        <v>150</v>
      </c>
      <c r="AA69" s="7"/>
      <c r="AB69" s="7"/>
      <c r="AC69" s="7"/>
      <c r="AD69" s="7"/>
      <c r="AE69" s="7"/>
      <c r="AF69" s="7"/>
      <c r="AG69" s="7"/>
      <c r="AH69" s="121">
        <v>1</v>
      </c>
      <c r="AI69" s="124"/>
      <c r="AJ69" s="121"/>
      <c r="AK69" s="124"/>
      <c r="AL69" s="124"/>
      <c r="AM69" s="124"/>
      <c r="AN69" s="124"/>
      <c r="AO69" s="124"/>
      <c r="AP69" s="124"/>
      <c r="AQ69" s="125">
        <v>1213.9000000000001</v>
      </c>
      <c r="AR69" s="125">
        <v>1686</v>
      </c>
      <c r="AS69" s="126"/>
      <c r="AT69" s="126"/>
      <c r="AU69" s="127"/>
      <c r="AV69" s="127"/>
      <c r="AW69" s="127"/>
      <c r="AX69" s="127"/>
      <c r="AY69" s="127"/>
      <c r="AZ69" s="125">
        <v>4.32</v>
      </c>
      <c r="BA69" s="125">
        <v>3.46</v>
      </c>
      <c r="BB69" s="127"/>
      <c r="BC69" s="127"/>
      <c r="BD69" s="127"/>
      <c r="BE69" s="127"/>
      <c r="BF69" s="127"/>
      <c r="BG69" s="127"/>
      <c r="BH69" s="127"/>
      <c r="BI69" s="125">
        <v>60.16</v>
      </c>
      <c r="BJ69" s="125">
        <v>61.62</v>
      </c>
      <c r="BK69" s="127"/>
      <c r="BL69" s="127"/>
      <c r="BM69" s="127"/>
      <c r="BN69" s="127"/>
      <c r="BO69" s="127"/>
      <c r="BP69" s="127"/>
      <c r="BQ69" s="127"/>
      <c r="BR69" s="125">
        <v>1607.41</v>
      </c>
      <c r="BS69" s="125">
        <v>1298.51</v>
      </c>
      <c r="BT69" s="127"/>
      <c r="BU69" s="127"/>
      <c r="BV69" s="127"/>
      <c r="BW69" s="127"/>
      <c r="BX69" s="127"/>
      <c r="BY69" s="127"/>
      <c r="BZ69" s="127"/>
      <c r="CA69" s="9">
        <v>46</v>
      </c>
      <c r="CB69" s="7">
        <v>41661</v>
      </c>
      <c r="CC69" s="9">
        <f t="shared" si="37"/>
        <v>-15</v>
      </c>
      <c r="CD69" s="9">
        <v>37</v>
      </c>
      <c r="CE69" s="137">
        <v>42132</v>
      </c>
      <c r="CF69" s="128">
        <f t="shared" si="38"/>
        <v>5</v>
      </c>
      <c r="CG69" s="128"/>
      <c r="CH69" s="39">
        <v>37</v>
      </c>
      <c r="CI69" s="40">
        <v>42132</v>
      </c>
      <c r="CJ69" s="18">
        <v>0</v>
      </c>
      <c r="CK69" s="41">
        <v>35</v>
      </c>
      <c r="CL69" s="42">
        <v>42282</v>
      </c>
      <c r="CM69" s="23">
        <v>5</v>
      </c>
      <c r="CN69" s="39">
        <v>27</v>
      </c>
      <c r="CO69" s="46">
        <v>42562</v>
      </c>
      <c r="CP69" s="24">
        <v>14</v>
      </c>
      <c r="CQ69" s="39">
        <v>19</v>
      </c>
      <c r="CR69" s="46">
        <v>42821</v>
      </c>
      <c r="CS69" s="24">
        <v>23</v>
      </c>
      <c r="CT69" s="8">
        <v>13</v>
      </c>
      <c r="CU69" s="6">
        <v>43192</v>
      </c>
      <c r="CV69" s="9">
        <v>35</v>
      </c>
      <c r="CW69" s="27"/>
      <c r="CX69" s="27"/>
      <c r="CY69" s="28"/>
      <c r="CZ69" s="127">
        <f t="shared" si="39"/>
        <v>0.47826086956521741</v>
      </c>
      <c r="DA69" s="127">
        <f t="shared" si="40"/>
        <v>0.47826086956521741</v>
      </c>
      <c r="DB69" s="127">
        <f t="shared" si="41"/>
        <v>0.6</v>
      </c>
      <c r="DC69" s="127"/>
      <c r="DD69" s="127">
        <f t="shared" si="42"/>
        <v>0.68571428571428572</v>
      </c>
      <c r="DE69" s="9">
        <f t="shared" si="43"/>
        <v>35</v>
      </c>
      <c r="DF69" s="127">
        <f t="shared" si="44"/>
        <v>0.66</v>
      </c>
      <c r="DG69" s="9">
        <f t="shared" si="45"/>
        <v>50</v>
      </c>
      <c r="DH69" s="129">
        <f t="shared" si="46"/>
        <v>8.5714285714285743E-2</v>
      </c>
      <c r="DI69" s="129"/>
      <c r="DJ69" s="129">
        <f t="shared" si="47"/>
        <v>0.18173913043478263</v>
      </c>
      <c r="DK69" s="9"/>
      <c r="DL69" s="7"/>
      <c r="DM69" s="9"/>
      <c r="DN69" s="7"/>
      <c r="DO69" s="9">
        <f t="shared" si="48"/>
        <v>8</v>
      </c>
      <c r="DP69" s="114">
        <f t="shared" si="49"/>
        <v>23</v>
      </c>
      <c r="DQ69" s="114">
        <f t="shared" si="50"/>
        <v>15</v>
      </c>
      <c r="DR69" s="131">
        <v>1</v>
      </c>
      <c r="DS69" s="145"/>
      <c r="DT69" s="145"/>
      <c r="DU69" s="145"/>
      <c r="DV69" s="145"/>
      <c r="DW69" s="145"/>
      <c r="DX69" s="145"/>
      <c r="DY69" s="145"/>
      <c r="DZ69" s="145"/>
      <c r="EA69" s="145"/>
      <c r="EB69" s="145"/>
      <c r="EC69" s="145"/>
      <c r="ED69" s="145"/>
      <c r="EE69" s="145"/>
      <c r="EF69" s="136"/>
    </row>
    <row r="70" spans="1:136">
      <c r="A70" s="112">
        <v>1438</v>
      </c>
      <c r="B70" s="142" t="s">
        <v>55</v>
      </c>
      <c r="C70" s="146">
        <v>2568772</v>
      </c>
      <c r="D70" s="115" t="s">
        <v>383</v>
      </c>
      <c r="E70" s="111">
        <v>44</v>
      </c>
      <c r="F70" s="112" t="s">
        <v>318</v>
      </c>
      <c r="G70" s="112"/>
      <c r="H70" s="112" t="s">
        <v>319</v>
      </c>
      <c r="I70" s="112"/>
      <c r="J70" s="113">
        <v>42034</v>
      </c>
      <c r="K70" s="114">
        <v>39</v>
      </c>
      <c r="L70" s="112">
        <v>4</v>
      </c>
      <c r="M70" s="113">
        <v>41852</v>
      </c>
      <c r="N70" s="112">
        <v>2</v>
      </c>
      <c r="O70" s="137">
        <v>42173</v>
      </c>
      <c r="P70" s="5">
        <v>42199</v>
      </c>
      <c r="Q70" s="179"/>
      <c r="R70" s="112"/>
      <c r="S70" s="112"/>
      <c r="T70" s="112"/>
      <c r="U70" s="112"/>
      <c r="V70" s="112"/>
      <c r="W70" s="112"/>
      <c r="X70" s="112"/>
      <c r="Y70" s="140" t="s">
        <v>151</v>
      </c>
      <c r="Z70" s="140" t="s">
        <v>152</v>
      </c>
      <c r="AA70" s="7"/>
      <c r="AB70" s="7"/>
      <c r="AC70" s="7"/>
      <c r="AD70" s="7"/>
      <c r="AE70" s="7"/>
      <c r="AF70" s="7"/>
      <c r="AG70" s="7"/>
      <c r="AH70" s="121">
        <v>1</v>
      </c>
      <c r="AI70" s="124"/>
      <c r="AJ70" s="124"/>
      <c r="AK70" s="124"/>
      <c r="AL70" s="121"/>
      <c r="AM70" s="121"/>
      <c r="AN70" s="121"/>
      <c r="AO70" s="121"/>
      <c r="AP70" s="121"/>
      <c r="AQ70" s="125">
        <v>1072.7</v>
      </c>
      <c r="AR70" s="125">
        <v>1385.1</v>
      </c>
      <c r="AS70" s="126"/>
      <c r="AT70" s="126"/>
      <c r="AU70" s="127"/>
      <c r="AV70" s="127"/>
      <c r="AW70" s="127"/>
      <c r="AX70" s="127"/>
      <c r="AY70" s="127"/>
      <c r="AZ70" s="125">
        <v>4.18</v>
      </c>
      <c r="BA70" s="125">
        <v>10.93</v>
      </c>
      <c r="BB70" s="127"/>
      <c r="BC70" s="127"/>
      <c r="BD70" s="127"/>
      <c r="BE70" s="127"/>
      <c r="BF70" s="127"/>
      <c r="BG70" s="127"/>
      <c r="BH70" s="127"/>
      <c r="BI70" s="125">
        <v>56.95</v>
      </c>
      <c r="BJ70" s="125">
        <v>39.89</v>
      </c>
      <c r="BK70" s="127"/>
      <c r="BL70" s="127"/>
      <c r="BM70" s="127"/>
      <c r="BN70" s="127"/>
      <c r="BO70" s="127"/>
      <c r="BP70" s="127"/>
      <c r="BQ70" s="127"/>
      <c r="BR70" s="125">
        <v>1670.95</v>
      </c>
      <c r="BS70" s="125">
        <v>1061.5899999999999</v>
      </c>
      <c r="BT70" s="127"/>
      <c r="BU70" s="127"/>
      <c r="BV70" s="127"/>
      <c r="BW70" s="127"/>
      <c r="BX70" s="127"/>
      <c r="BY70" s="127"/>
      <c r="BZ70" s="127"/>
      <c r="CA70" s="9">
        <v>39</v>
      </c>
      <c r="CB70" s="7">
        <v>42034</v>
      </c>
      <c r="CC70" s="9">
        <f t="shared" si="37"/>
        <v>-5</v>
      </c>
      <c r="CD70" s="9">
        <v>33</v>
      </c>
      <c r="CE70" s="137">
        <v>42173</v>
      </c>
      <c r="CF70" s="128">
        <f t="shared" si="38"/>
        <v>5</v>
      </c>
      <c r="CG70" s="128"/>
      <c r="CH70" s="39">
        <v>33</v>
      </c>
      <c r="CI70" s="40">
        <v>42173</v>
      </c>
      <c r="CJ70" s="18">
        <v>0</v>
      </c>
      <c r="CK70" s="41">
        <v>26</v>
      </c>
      <c r="CL70" s="42">
        <v>42338</v>
      </c>
      <c r="CM70" s="23">
        <v>5</v>
      </c>
      <c r="CN70" s="39">
        <v>25</v>
      </c>
      <c r="CO70" s="46">
        <v>42580</v>
      </c>
      <c r="CP70" s="24">
        <v>13</v>
      </c>
      <c r="CQ70" s="39">
        <v>20</v>
      </c>
      <c r="CR70" s="46">
        <v>42898</v>
      </c>
      <c r="CS70" s="24">
        <v>24</v>
      </c>
      <c r="CT70" s="8">
        <v>17</v>
      </c>
      <c r="CU70" s="6">
        <v>43192</v>
      </c>
      <c r="CV70" s="9">
        <v>33</v>
      </c>
      <c r="CW70" s="27"/>
      <c r="CX70" s="27"/>
      <c r="CY70" s="28"/>
      <c r="CZ70" s="127">
        <f t="shared" si="39"/>
        <v>1.3636363636363635</v>
      </c>
      <c r="DA70" s="127">
        <f t="shared" si="40"/>
        <v>1.3636363636363635</v>
      </c>
      <c r="DB70" s="127">
        <f t="shared" si="41"/>
        <v>1.2</v>
      </c>
      <c r="DC70" s="127"/>
      <c r="DD70" s="127">
        <f t="shared" si="42"/>
        <v>0.48484848484848486</v>
      </c>
      <c r="DE70" s="9">
        <f t="shared" si="43"/>
        <v>33</v>
      </c>
      <c r="DF70" s="127">
        <f t="shared" si="44"/>
        <v>0.57894736842105265</v>
      </c>
      <c r="DG70" s="9">
        <f t="shared" si="45"/>
        <v>38</v>
      </c>
      <c r="DH70" s="129">
        <f t="shared" si="46"/>
        <v>-0.71515151515151509</v>
      </c>
      <c r="DI70" s="129"/>
      <c r="DJ70" s="129">
        <f t="shared" si="47"/>
        <v>-0.78468899521531088</v>
      </c>
      <c r="DK70" s="9"/>
      <c r="DL70" s="7"/>
      <c r="DM70" s="9"/>
      <c r="DN70" s="7"/>
      <c r="DO70" s="9">
        <f t="shared" si="48"/>
        <v>6</v>
      </c>
      <c r="DP70" s="114">
        <f t="shared" si="49"/>
        <v>11</v>
      </c>
      <c r="DQ70" s="114">
        <f t="shared" si="50"/>
        <v>5</v>
      </c>
      <c r="DR70" s="131">
        <v>1</v>
      </c>
      <c r="DS70" s="145"/>
      <c r="DT70" s="145"/>
      <c r="DU70" s="145"/>
      <c r="DV70" s="145"/>
      <c r="DW70" s="145"/>
      <c r="DX70" s="145"/>
      <c r="DY70" s="145"/>
      <c r="DZ70" s="145"/>
      <c r="EA70" s="145"/>
      <c r="EB70" s="145"/>
      <c r="EC70" s="145"/>
      <c r="ED70" s="145"/>
      <c r="EE70" s="145"/>
      <c r="EF70" s="136"/>
    </row>
    <row r="71" spans="1:136">
      <c r="A71" s="112">
        <v>1240</v>
      </c>
      <c r="B71" s="142" t="s">
        <v>56</v>
      </c>
      <c r="C71" s="146">
        <v>2540912</v>
      </c>
      <c r="D71" s="115" t="s">
        <v>384</v>
      </c>
      <c r="E71" s="111">
        <v>63</v>
      </c>
      <c r="F71" s="112" t="s">
        <v>318</v>
      </c>
      <c r="G71" s="112"/>
      <c r="H71" s="112" t="s">
        <v>319</v>
      </c>
      <c r="I71" s="112"/>
      <c r="J71" s="113">
        <v>41816</v>
      </c>
      <c r="K71" s="114">
        <v>42</v>
      </c>
      <c r="L71" s="112">
        <v>13</v>
      </c>
      <c r="M71" s="113">
        <v>41609</v>
      </c>
      <c r="N71" s="112">
        <v>2</v>
      </c>
      <c r="O71" s="137">
        <v>42215</v>
      </c>
      <c r="P71" s="5">
        <v>42241</v>
      </c>
      <c r="Q71" s="179"/>
      <c r="R71" s="112"/>
      <c r="S71" s="112"/>
      <c r="T71" s="112"/>
      <c r="U71" s="112"/>
      <c r="V71" s="112"/>
      <c r="W71" s="112"/>
      <c r="X71" s="112"/>
      <c r="Y71" s="140" t="s">
        <v>153</v>
      </c>
      <c r="Z71" s="140" t="s">
        <v>154</v>
      </c>
      <c r="AA71" s="7"/>
      <c r="AB71" s="7"/>
      <c r="AC71" s="7"/>
      <c r="AD71" s="7"/>
      <c r="AE71" s="7"/>
      <c r="AF71" s="7"/>
      <c r="AG71" s="7"/>
      <c r="AH71" s="121">
        <v>1</v>
      </c>
      <c r="AI71" s="124"/>
      <c r="AJ71" s="124"/>
      <c r="AK71" s="121"/>
      <c r="AL71" s="121"/>
      <c r="AM71" s="121"/>
      <c r="AN71" s="121"/>
      <c r="AO71" s="121"/>
      <c r="AP71" s="121"/>
      <c r="AQ71" s="125">
        <v>933.9</v>
      </c>
      <c r="AR71" s="125">
        <v>1168.5</v>
      </c>
      <c r="AS71" s="126"/>
      <c r="AT71" s="126"/>
      <c r="AU71" s="127"/>
      <c r="AV71" s="127"/>
      <c r="AW71" s="127"/>
      <c r="AX71" s="127"/>
      <c r="AY71" s="127"/>
      <c r="AZ71" s="125">
        <v>2.0299999999999998</v>
      </c>
      <c r="BA71" s="125">
        <v>1.88</v>
      </c>
      <c r="BB71" s="127"/>
      <c r="BC71" s="127"/>
      <c r="BD71" s="127"/>
      <c r="BE71" s="127"/>
      <c r="BF71" s="127"/>
      <c r="BG71" s="127"/>
      <c r="BH71" s="127"/>
      <c r="BI71" s="125">
        <v>39.89</v>
      </c>
      <c r="BJ71" s="125">
        <v>38.18</v>
      </c>
      <c r="BK71" s="127"/>
      <c r="BL71" s="127"/>
      <c r="BM71" s="127"/>
      <c r="BN71" s="127"/>
      <c r="BO71" s="127"/>
      <c r="BP71" s="127"/>
      <c r="BQ71" s="127"/>
      <c r="BR71" s="125">
        <v>811.2</v>
      </c>
      <c r="BS71" s="125">
        <v>666.37</v>
      </c>
      <c r="BT71" s="127"/>
      <c r="BU71" s="127"/>
      <c r="BV71" s="127"/>
      <c r="BW71" s="127"/>
      <c r="BX71" s="127"/>
      <c r="BY71" s="127"/>
      <c r="BZ71" s="127"/>
      <c r="CA71" s="9">
        <v>42</v>
      </c>
      <c r="CB71" s="7">
        <v>41816</v>
      </c>
      <c r="CC71" s="9">
        <f t="shared" si="37"/>
        <v>-13</v>
      </c>
      <c r="CD71" s="9">
        <v>38</v>
      </c>
      <c r="CE71" s="137">
        <v>42215</v>
      </c>
      <c r="CF71" s="128">
        <f t="shared" si="38"/>
        <v>5</v>
      </c>
      <c r="CG71" s="128"/>
      <c r="CH71" s="39">
        <v>38</v>
      </c>
      <c r="CI71" s="40">
        <v>42215</v>
      </c>
      <c r="CJ71" s="18">
        <v>0</v>
      </c>
      <c r="CK71" s="41">
        <v>38</v>
      </c>
      <c r="CL71" s="42">
        <v>42366</v>
      </c>
      <c r="CM71" s="23">
        <v>5</v>
      </c>
      <c r="CN71" s="39">
        <v>27</v>
      </c>
      <c r="CO71" s="46">
        <v>42632</v>
      </c>
      <c r="CP71" s="24">
        <v>14</v>
      </c>
      <c r="CQ71" s="39"/>
      <c r="CR71" s="46"/>
      <c r="CS71" s="24"/>
      <c r="CT71" s="34"/>
      <c r="CU71" s="34"/>
      <c r="CV71" s="28"/>
      <c r="CW71" s="27"/>
      <c r="CX71" s="27"/>
      <c r="CY71" s="28"/>
      <c r="CZ71" s="127">
        <f t="shared" si="39"/>
        <v>0.5</v>
      </c>
      <c r="DA71" s="127">
        <f t="shared" si="40"/>
        <v>0.5</v>
      </c>
      <c r="DB71" s="127">
        <f t="shared" si="41"/>
        <v>0.30769230769230771</v>
      </c>
      <c r="DC71" s="127"/>
      <c r="DD71" s="127">
        <f t="shared" si="42"/>
        <v>0.7857142857142857</v>
      </c>
      <c r="DE71" s="9">
        <f t="shared" si="43"/>
        <v>14</v>
      </c>
      <c r="DF71" s="127">
        <f t="shared" si="44"/>
        <v>0.55555555555555558</v>
      </c>
      <c r="DG71" s="9">
        <f t="shared" si="45"/>
        <v>27</v>
      </c>
      <c r="DH71" s="129">
        <f t="shared" si="46"/>
        <v>0.47802197802197799</v>
      </c>
      <c r="DI71" s="129"/>
      <c r="DJ71" s="129">
        <f t="shared" si="47"/>
        <v>5.555555555555558E-2</v>
      </c>
      <c r="DK71" s="9"/>
      <c r="DL71" s="7"/>
      <c r="DM71" s="9"/>
      <c r="DN71" s="7"/>
      <c r="DO71" s="9">
        <f t="shared" si="48"/>
        <v>7</v>
      </c>
      <c r="DP71" s="114">
        <f t="shared" si="49"/>
        <v>20</v>
      </c>
      <c r="DQ71" s="114">
        <f t="shared" si="50"/>
        <v>13</v>
      </c>
      <c r="DR71" s="131">
        <v>1</v>
      </c>
      <c r="DS71" s="145"/>
      <c r="DT71" s="145"/>
      <c r="DU71" s="145"/>
      <c r="DV71" s="145"/>
      <c r="DW71" s="145"/>
      <c r="DX71" s="145"/>
      <c r="DY71" s="145"/>
      <c r="DZ71" s="145"/>
      <c r="EA71" s="145"/>
      <c r="EB71" s="145"/>
      <c r="EC71" s="145"/>
      <c r="ED71" s="145"/>
      <c r="EE71" s="145"/>
      <c r="EF71" s="136"/>
    </row>
    <row r="72" spans="1:136">
      <c r="A72" s="112">
        <v>986</v>
      </c>
      <c r="B72" s="153" t="s">
        <v>57</v>
      </c>
      <c r="C72" s="146">
        <v>2483431</v>
      </c>
      <c r="D72" s="112" t="s">
        <v>385</v>
      </c>
      <c r="E72" s="111">
        <v>12</v>
      </c>
      <c r="F72" s="112" t="s">
        <v>318</v>
      </c>
      <c r="G72" s="112"/>
      <c r="H72" s="112" t="s">
        <v>319</v>
      </c>
      <c r="I72" s="112"/>
      <c r="J72" s="113">
        <v>41373</v>
      </c>
      <c r="K72" s="114">
        <v>43</v>
      </c>
      <c r="L72" s="112">
        <v>23</v>
      </c>
      <c r="M72" s="113">
        <v>41183</v>
      </c>
      <c r="N72" s="112">
        <v>2</v>
      </c>
      <c r="O72" s="137">
        <v>42096</v>
      </c>
      <c r="P72" s="5">
        <v>42122</v>
      </c>
      <c r="Q72" s="179"/>
      <c r="R72" s="112"/>
      <c r="S72" s="112"/>
      <c r="T72" s="112"/>
      <c r="U72" s="112"/>
      <c r="V72" s="112"/>
      <c r="W72" s="112"/>
      <c r="X72" s="112"/>
      <c r="Y72" s="140" t="s">
        <v>155</v>
      </c>
      <c r="Z72" s="140" t="s">
        <v>156</v>
      </c>
      <c r="AA72" s="7"/>
      <c r="AB72" s="7"/>
      <c r="AC72" s="7"/>
      <c r="AD72" s="7"/>
      <c r="AE72" s="7"/>
      <c r="AF72" s="7"/>
      <c r="AG72" s="7"/>
      <c r="AH72" s="121">
        <v>1</v>
      </c>
      <c r="AI72" s="124"/>
      <c r="AJ72" s="124"/>
      <c r="AK72" s="124"/>
      <c r="AL72" s="124"/>
      <c r="AM72" s="124"/>
      <c r="AN72" s="124"/>
      <c r="AO72" s="124"/>
      <c r="AP72" s="124"/>
      <c r="AQ72" s="125">
        <v>1218.3</v>
      </c>
      <c r="AR72" s="125">
        <v>1859.8</v>
      </c>
      <c r="AS72" s="126"/>
      <c r="AT72" s="126"/>
      <c r="AU72" s="127"/>
      <c r="AV72" s="127"/>
      <c r="AW72" s="127"/>
      <c r="AX72" s="127"/>
      <c r="AY72" s="127"/>
      <c r="AZ72" s="125">
        <v>3.89</v>
      </c>
      <c r="BA72" s="125">
        <v>6.16</v>
      </c>
      <c r="BB72" s="127"/>
      <c r="BC72" s="127"/>
      <c r="BD72" s="127"/>
      <c r="BE72" s="127"/>
      <c r="BF72" s="127"/>
      <c r="BG72" s="127"/>
      <c r="BH72" s="127"/>
      <c r="BI72" s="125">
        <v>58.25</v>
      </c>
      <c r="BJ72" s="125">
        <v>50.31</v>
      </c>
      <c r="BK72" s="127"/>
      <c r="BL72" s="127"/>
      <c r="BM72" s="127"/>
      <c r="BN72" s="127"/>
      <c r="BO72" s="127"/>
      <c r="BP72" s="127"/>
      <c r="BQ72" s="127"/>
      <c r="BR72" s="125">
        <v>1756.36</v>
      </c>
      <c r="BS72" s="125">
        <v>1003.54</v>
      </c>
      <c r="BT72" s="127"/>
      <c r="BU72" s="127"/>
      <c r="BV72" s="127"/>
      <c r="BW72" s="127"/>
      <c r="BX72" s="127"/>
      <c r="BY72" s="127"/>
      <c r="BZ72" s="127"/>
      <c r="CA72" s="9">
        <v>43</v>
      </c>
      <c r="CB72" s="7">
        <v>41373</v>
      </c>
      <c r="CC72" s="9">
        <f t="shared" si="37"/>
        <v>-24</v>
      </c>
      <c r="CD72" s="9">
        <v>30</v>
      </c>
      <c r="CE72" s="137">
        <v>42096</v>
      </c>
      <c r="CF72" s="128">
        <f t="shared" si="38"/>
        <v>6</v>
      </c>
      <c r="CG72" s="128"/>
      <c r="CH72" s="39">
        <v>30</v>
      </c>
      <c r="CI72" s="40">
        <v>42096</v>
      </c>
      <c r="CJ72" s="18">
        <v>0</v>
      </c>
      <c r="CK72" s="41">
        <v>21</v>
      </c>
      <c r="CL72" s="42">
        <v>42268</v>
      </c>
      <c r="CM72" s="23">
        <v>6</v>
      </c>
      <c r="CN72" s="39">
        <v>6</v>
      </c>
      <c r="CO72" s="46">
        <v>42502</v>
      </c>
      <c r="CP72" s="24">
        <v>13</v>
      </c>
      <c r="CQ72" s="34"/>
      <c r="CR72" s="34"/>
      <c r="CS72" s="36"/>
      <c r="CT72" s="8"/>
      <c r="CU72" s="6"/>
      <c r="CV72" s="9"/>
      <c r="CW72" s="27"/>
      <c r="CX72" s="27"/>
      <c r="CY72" s="28"/>
      <c r="CZ72" s="127">
        <f t="shared" si="39"/>
        <v>0.6</v>
      </c>
      <c r="DA72" s="127">
        <f t="shared" si="40"/>
        <v>0.6</v>
      </c>
      <c r="DB72" s="127">
        <f t="shared" si="41"/>
        <v>0.54166666666666663</v>
      </c>
      <c r="DC72" s="127"/>
      <c r="DD72" s="127">
        <f t="shared" si="42"/>
        <v>1.8461538461538463</v>
      </c>
      <c r="DE72" s="9">
        <f t="shared" si="43"/>
        <v>13</v>
      </c>
      <c r="DF72" s="127">
        <f t="shared" si="44"/>
        <v>1</v>
      </c>
      <c r="DG72" s="9">
        <f t="shared" si="45"/>
        <v>37</v>
      </c>
      <c r="DH72" s="129">
        <f t="shared" si="46"/>
        <v>1.3044871794871797</v>
      </c>
      <c r="DI72" s="129"/>
      <c r="DJ72" s="129">
        <f t="shared" si="47"/>
        <v>0.4</v>
      </c>
      <c r="DK72" s="9"/>
      <c r="DL72" s="7"/>
      <c r="DM72" s="9"/>
      <c r="DN72" s="7"/>
      <c r="DO72" s="9">
        <f t="shared" si="48"/>
        <v>6</v>
      </c>
      <c r="DP72" s="114">
        <f t="shared" si="49"/>
        <v>30</v>
      </c>
      <c r="DQ72" s="114">
        <f t="shared" si="50"/>
        <v>24</v>
      </c>
      <c r="DR72" s="131">
        <v>1</v>
      </c>
      <c r="DS72" s="145"/>
      <c r="DT72" s="145"/>
      <c r="DU72" s="145"/>
      <c r="DV72" s="145"/>
      <c r="DW72" s="145"/>
      <c r="DX72" s="145"/>
      <c r="DY72" s="145"/>
      <c r="DZ72" s="145"/>
      <c r="EA72" s="145"/>
      <c r="EB72" s="145"/>
      <c r="EC72" s="145"/>
      <c r="ED72" s="145"/>
      <c r="EE72" s="145"/>
      <c r="EF72" s="136"/>
    </row>
    <row r="73" spans="1:136">
      <c r="A73" s="112">
        <v>2288</v>
      </c>
      <c r="B73" s="153" t="s">
        <v>58</v>
      </c>
      <c r="C73" s="146">
        <v>2721893</v>
      </c>
      <c r="D73" s="115" t="s">
        <v>386</v>
      </c>
      <c r="E73" s="111">
        <v>184</v>
      </c>
      <c r="F73" s="112" t="s">
        <v>313</v>
      </c>
      <c r="G73" s="112">
        <v>1</v>
      </c>
      <c r="H73" s="112" t="s">
        <v>319</v>
      </c>
      <c r="I73" s="112"/>
      <c r="J73" s="113">
        <v>43294</v>
      </c>
      <c r="K73" s="114">
        <v>43</v>
      </c>
      <c r="L73" s="112">
        <v>0</v>
      </c>
      <c r="M73" s="113">
        <v>42370</v>
      </c>
      <c r="N73" s="112">
        <v>2</v>
      </c>
      <c r="O73" s="137">
        <v>43322</v>
      </c>
      <c r="P73" s="5">
        <v>43348</v>
      </c>
      <c r="Q73" s="179"/>
      <c r="R73" s="112"/>
      <c r="S73" s="112"/>
      <c r="T73" s="112"/>
      <c r="U73" s="112"/>
      <c r="V73" s="112"/>
      <c r="W73" s="112"/>
      <c r="X73" s="112"/>
      <c r="Y73" s="140" t="s">
        <v>157</v>
      </c>
      <c r="Z73" s="140" t="s">
        <v>158</v>
      </c>
      <c r="AA73" s="7"/>
      <c r="AB73" s="7"/>
      <c r="AC73" s="7"/>
      <c r="AD73" s="7"/>
      <c r="AE73" s="7"/>
      <c r="AF73" s="7"/>
      <c r="AG73" s="7"/>
      <c r="AH73" s="121">
        <v>1</v>
      </c>
      <c r="AI73" s="124"/>
      <c r="AJ73" s="124"/>
      <c r="AK73" s="121"/>
      <c r="AL73" s="121"/>
      <c r="AM73" s="121"/>
      <c r="AN73" s="121"/>
      <c r="AO73" s="121"/>
      <c r="AP73" s="121"/>
      <c r="AQ73" s="125">
        <v>1748.7</v>
      </c>
      <c r="AR73" s="125">
        <v>2177.5</v>
      </c>
      <c r="AS73" s="126"/>
      <c r="AT73" s="126"/>
      <c r="AU73" s="127"/>
      <c r="AV73" s="127"/>
      <c r="AW73" s="127"/>
      <c r="AX73" s="127"/>
      <c r="AY73" s="127"/>
      <c r="AZ73" s="125">
        <v>2.21</v>
      </c>
      <c r="BA73" s="125">
        <v>2.99</v>
      </c>
      <c r="BB73" s="127"/>
      <c r="BC73" s="127"/>
      <c r="BD73" s="127"/>
      <c r="BE73" s="127"/>
      <c r="BF73" s="127"/>
      <c r="BG73" s="127"/>
      <c r="BH73" s="127"/>
      <c r="BI73" s="125">
        <v>45.16</v>
      </c>
      <c r="BJ73" s="125">
        <v>59.3</v>
      </c>
      <c r="BK73" s="127"/>
      <c r="BL73" s="127"/>
      <c r="BM73" s="127"/>
      <c r="BN73" s="127"/>
      <c r="BO73" s="127"/>
      <c r="BP73" s="127"/>
      <c r="BQ73" s="127"/>
      <c r="BR73" s="125">
        <v>2256.33</v>
      </c>
      <c r="BS73" s="125">
        <v>1441.81</v>
      </c>
      <c r="BT73" s="127"/>
      <c r="BU73" s="127"/>
      <c r="BV73" s="127"/>
      <c r="BW73" s="127"/>
      <c r="BX73" s="127"/>
      <c r="BY73" s="127"/>
      <c r="BZ73" s="127"/>
      <c r="CA73" s="9">
        <v>43</v>
      </c>
      <c r="CB73" s="7">
        <v>43294</v>
      </c>
      <c r="CC73" s="9">
        <f t="shared" si="37"/>
        <v>-1</v>
      </c>
      <c r="CD73" s="9">
        <v>43</v>
      </c>
      <c r="CE73" s="137">
        <v>43322</v>
      </c>
      <c r="CF73" s="128">
        <f t="shared" si="38"/>
        <v>12</v>
      </c>
      <c r="CG73" s="128"/>
      <c r="CH73" s="39">
        <v>43</v>
      </c>
      <c r="CI73" s="40">
        <v>43320</v>
      </c>
      <c r="CJ73" s="18">
        <v>0</v>
      </c>
      <c r="CK73" s="39">
        <v>39</v>
      </c>
      <c r="CL73" s="46">
        <v>43689</v>
      </c>
      <c r="CM73" s="24">
        <v>12</v>
      </c>
      <c r="CN73" s="34"/>
      <c r="CO73" s="34"/>
      <c r="CP73" s="36"/>
      <c r="CQ73" s="39"/>
      <c r="CR73" s="46"/>
      <c r="CS73" s="24"/>
      <c r="CT73" s="8"/>
      <c r="CU73" s="6"/>
      <c r="CV73" s="9"/>
      <c r="CW73" s="27"/>
      <c r="CX73" s="27"/>
      <c r="CY73" s="28"/>
      <c r="CZ73" s="127">
        <f t="shared" si="39"/>
        <v>0.16129032258064516</v>
      </c>
      <c r="DA73" s="127">
        <f t="shared" si="40"/>
        <v>0.16129032258064516</v>
      </c>
      <c r="DB73" s="127">
        <f t="shared" si="41"/>
        <v>0</v>
      </c>
      <c r="DC73" s="127"/>
      <c r="DD73" s="127">
        <f t="shared" si="42"/>
        <v>0.33333333333333331</v>
      </c>
      <c r="DE73" s="9">
        <f t="shared" si="43"/>
        <v>12</v>
      </c>
      <c r="DF73" s="127">
        <f t="shared" si="44"/>
        <v>0.30769230769230771</v>
      </c>
      <c r="DG73" s="9">
        <f t="shared" si="45"/>
        <v>13</v>
      </c>
      <c r="DH73" s="129">
        <f t="shared" si="46"/>
        <v>0.33333333333333331</v>
      </c>
      <c r="DI73" s="129"/>
      <c r="DJ73" s="129">
        <f t="shared" si="47"/>
        <v>0.14640198511166255</v>
      </c>
      <c r="DK73" s="9"/>
      <c r="DL73" s="7"/>
      <c r="DM73" s="9"/>
      <c r="DN73" s="7"/>
      <c r="DO73" s="9">
        <f t="shared" si="48"/>
        <v>30</v>
      </c>
      <c r="DP73" s="114">
        <f t="shared" si="49"/>
        <v>31</v>
      </c>
      <c r="DQ73" s="114">
        <f t="shared" si="50"/>
        <v>1</v>
      </c>
      <c r="DR73" s="131">
        <v>1</v>
      </c>
      <c r="DS73" s="145"/>
      <c r="DT73" s="145"/>
      <c r="DU73" s="145"/>
      <c r="DV73" s="145"/>
      <c r="DW73" s="145"/>
      <c r="DX73" s="145"/>
      <c r="DY73" s="145"/>
      <c r="DZ73" s="145"/>
      <c r="EA73" s="145"/>
      <c r="EB73" s="145"/>
      <c r="EC73" s="145"/>
      <c r="ED73" s="145"/>
      <c r="EE73" s="145"/>
      <c r="EF73" s="136"/>
    </row>
    <row r="74" spans="1:136">
      <c r="A74" s="112">
        <v>2384</v>
      </c>
      <c r="B74" s="153" t="s">
        <v>59</v>
      </c>
      <c r="C74" s="146">
        <v>2737549</v>
      </c>
      <c r="D74" s="115" t="s">
        <v>387</v>
      </c>
      <c r="E74" s="111">
        <v>197</v>
      </c>
      <c r="F74" s="112" t="s">
        <v>313</v>
      </c>
      <c r="G74" s="112">
        <v>1</v>
      </c>
      <c r="H74" s="112" t="s">
        <v>319</v>
      </c>
      <c r="I74" s="112" t="s">
        <v>388</v>
      </c>
      <c r="J74" s="113">
        <v>43427</v>
      </c>
      <c r="K74" s="114">
        <v>33</v>
      </c>
      <c r="L74" s="112">
        <v>0</v>
      </c>
      <c r="M74" s="113">
        <v>42461</v>
      </c>
      <c r="N74" s="112">
        <v>2</v>
      </c>
      <c r="O74" s="137">
        <v>43455</v>
      </c>
      <c r="P74" s="5">
        <v>43481</v>
      </c>
      <c r="Q74" s="179"/>
      <c r="R74" s="112"/>
      <c r="S74" s="112"/>
      <c r="T74" s="112"/>
      <c r="U74" s="112"/>
      <c r="V74" s="112"/>
      <c r="W74" s="112"/>
      <c r="X74" s="112"/>
      <c r="Y74" s="140">
        <v>43455</v>
      </c>
      <c r="Z74" s="140">
        <v>43481</v>
      </c>
      <c r="AA74" s="7"/>
      <c r="AB74" s="7"/>
      <c r="AC74" s="7"/>
      <c r="AD74" s="7"/>
      <c r="AE74" s="7"/>
      <c r="AF74" s="7"/>
      <c r="AG74" s="7"/>
      <c r="AH74" s="121">
        <v>1</v>
      </c>
      <c r="AI74" s="124"/>
      <c r="AJ74" s="124"/>
      <c r="AK74" s="121"/>
      <c r="AL74" s="121"/>
      <c r="AM74" s="121"/>
      <c r="AN74" s="121"/>
      <c r="AO74" s="121"/>
      <c r="AP74" s="121"/>
      <c r="AQ74" s="125">
        <v>1169</v>
      </c>
      <c r="AR74" s="125">
        <v>1839.5</v>
      </c>
      <c r="AS74" s="126"/>
      <c r="AT74" s="126"/>
      <c r="AU74" s="127"/>
      <c r="AV74" s="127"/>
      <c r="AW74" s="127"/>
      <c r="AX74" s="127"/>
      <c r="AY74" s="127"/>
      <c r="AZ74" s="125">
        <v>1.96</v>
      </c>
      <c r="BA74" s="125">
        <v>5.04</v>
      </c>
      <c r="BB74" s="127"/>
      <c r="BC74" s="127"/>
      <c r="BD74" s="127"/>
      <c r="BE74" s="127"/>
      <c r="BF74" s="127"/>
      <c r="BG74" s="127"/>
      <c r="BH74" s="127"/>
      <c r="BI74" s="125">
        <v>47.33</v>
      </c>
      <c r="BJ74" s="125">
        <v>68.900000000000006</v>
      </c>
      <c r="BK74" s="127"/>
      <c r="BL74" s="127"/>
      <c r="BM74" s="127"/>
      <c r="BN74" s="127"/>
      <c r="BO74" s="127"/>
      <c r="BP74" s="127"/>
      <c r="BQ74" s="127"/>
      <c r="BR74" s="125">
        <v>854.02</v>
      </c>
      <c r="BS74" s="125">
        <v>1220.49</v>
      </c>
      <c r="BT74" s="127"/>
      <c r="BU74" s="127"/>
      <c r="BV74" s="127"/>
      <c r="BW74" s="127"/>
      <c r="BX74" s="127"/>
      <c r="BY74" s="127"/>
      <c r="BZ74" s="127"/>
      <c r="CA74" s="9">
        <v>33</v>
      </c>
      <c r="CB74" s="7">
        <v>43427</v>
      </c>
      <c r="CC74" s="9">
        <f t="shared" si="37"/>
        <v>-1</v>
      </c>
      <c r="CD74" s="9">
        <v>33</v>
      </c>
      <c r="CE74" s="137">
        <v>43455</v>
      </c>
      <c r="CF74" s="128">
        <f t="shared" si="38"/>
        <v>1</v>
      </c>
      <c r="CG74" s="128"/>
      <c r="CH74" s="39">
        <v>33</v>
      </c>
      <c r="CI74" s="40">
        <v>43455</v>
      </c>
      <c r="CJ74" s="18">
        <v>0</v>
      </c>
      <c r="CK74" s="53">
        <v>32</v>
      </c>
      <c r="CL74" s="35">
        <v>43481</v>
      </c>
      <c r="CM74" s="36"/>
      <c r="CN74" s="39">
        <v>22</v>
      </c>
      <c r="CO74" s="46">
        <v>43870</v>
      </c>
      <c r="CP74" s="24">
        <v>14</v>
      </c>
      <c r="CQ74" s="34"/>
      <c r="CR74" s="34"/>
      <c r="CS74" s="36"/>
      <c r="CT74" s="39"/>
      <c r="CU74" s="46"/>
      <c r="CV74" s="29"/>
      <c r="CW74" s="9"/>
      <c r="CX74" s="7"/>
      <c r="CY74" s="9"/>
      <c r="CZ74" s="127">
        <f t="shared" si="39"/>
        <v>0.45454545454545453</v>
      </c>
      <c r="DA74" s="127">
        <f t="shared" si="40"/>
        <v>0.45454545454545453</v>
      </c>
      <c r="DB74" s="127">
        <f t="shared" si="41"/>
        <v>0</v>
      </c>
      <c r="DC74" s="127"/>
      <c r="DD74" s="127" t="e">
        <f>((CH74-MIN(CA74,CH74,CN74,#REF!,CQ74,CT74,CW74)))/DE74</f>
        <v>#REF!</v>
      </c>
      <c r="DE74" s="9" t="e">
        <f>ROUND((MAX(CI74,CO74,#REF!,CR74,CU74,CX74)-CI74)/30.5,0)</f>
        <v>#REF!</v>
      </c>
      <c r="DF74" s="127" t="e">
        <f>((CA74-MIN(CA74,CH74,CN74,#REF!,CQ74,CT74,CW74)))/DG74</f>
        <v>#REF!</v>
      </c>
      <c r="DG74" s="9" t="e">
        <f>ROUND((MAX(CI74,CO74,#REF!,CR74,CU74,CX74)-CB74)/30.5,0)</f>
        <v>#REF!</v>
      </c>
      <c r="DH74" s="129" t="e">
        <f t="shared" si="46"/>
        <v>#REF!</v>
      </c>
      <c r="DI74" s="129"/>
      <c r="DJ74" s="129" t="e">
        <f t="shared" si="47"/>
        <v>#REF!</v>
      </c>
      <c r="DK74" s="9"/>
      <c r="DL74" s="7"/>
      <c r="DM74" s="9"/>
      <c r="DN74" s="7"/>
      <c r="DO74" s="9">
        <f t="shared" si="48"/>
        <v>32</v>
      </c>
      <c r="DP74" s="114">
        <f t="shared" si="49"/>
        <v>33</v>
      </c>
      <c r="DQ74" s="114">
        <f t="shared" si="50"/>
        <v>1</v>
      </c>
      <c r="DR74" s="131">
        <v>1</v>
      </c>
      <c r="DS74" s="145"/>
      <c r="DT74" s="145"/>
      <c r="DU74" s="145"/>
      <c r="DV74" s="145"/>
      <c r="DW74" s="145"/>
      <c r="DX74" s="145"/>
      <c r="DY74" s="145"/>
      <c r="DZ74" s="145"/>
      <c r="EA74" s="145"/>
      <c r="EB74" s="145"/>
      <c r="EC74" s="145"/>
      <c r="ED74" s="145"/>
      <c r="EE74" s="145"/>
      <c r="EF74" s="136"/>
    </row>
    <row r="75" spans="1:136">
      <c r="A75" s="112">
        <v>2635</v>
      </c>
      <c r="B75" s="153" t="s">
        <v>311</v>
      </c>
      <c r="C75" s="146">
        <v>2778170</v>
      </c>
      <c r="D75" s="115" t="s">
        <v>389</v>
      </c>
      <c r="E75" s="111">
        <v>243</v>
      </c>
      <c r="F75" s="112" t="s">
        <v>313</v>
      </c>
      <c r="G75" s="112">
        <v>1</v>
      </c>
      <c r="H75" s="112" t="s">
        <v>314</v>
      </c>
      <c r="I75" s="112"/>
      <c r="J75" s="113">
        <v>43748</v>
      </c>
      <c r="K75" s="114">
        <v>31</v>
      </c>
      <c r="L75" s="112">
        <v>1</v>
      </c>
      <c r="M75" s="113">
        <v>43070</v>
      </c>
      <c r="N75" s="112">
        <v>2</v>
      </c>
      <c r="O75" s="137">
        <v>43788</v>
      </c>
      <c r="P75" s="5">
        <v>43819</v>
      </c>
      <c r="Q75" s="179"/>
      <c r="R75" s="112"/>
      <c r="S75" s="112"/>
      <c r="T75" s="112"/>
      <c r="U75" s="112"/>
      <c r="V75" s="112"/>
      <c r="W75" s="112"/>
      <c r="X75" s="112"/>
      <c r="Y75" s="180">
        <v>43788</v>
      </c>
      <c r="Z75" s="180">
        <v>43819</v>
      </c>
      <c r="AA75" s="7"/>
      <c r="AB75" s="7"/>
      <c r="AC75" s="7"/>
      <c r="AD75" s="7"/>
      <c r="AE75" s="7"/>
      <c r="AF75" s="7"/>
      <c r="AG75" s="7"/>
      <c r="AH75" s="121">
        <v>1</v>
      </c>
      <c r="AI75" s="124"/>
      <c r="AJ75" s="124"/>
      <c r="AK75" s="124"/>
      <c r="AL75" s="124"/>
      <c r="AM75" s="124"/>
      <c r="AN75" s="121"/>
      <c r="AO75" s="121"/>
      <c r="AP75" s="121"/>
      <c r="AQ75" s="125">
        <v>1115.6999999999998</v>
      </c>
      <c r="AR75" s="125">
        <v>2153.6000000000004</v>
      </c>
      <c r="AS75" s="126"/>
      <c r="AT75" s="126"/>
      <c r="AU75" s="127"/>
      <c r="AV75" s="127"/>
      <c r="AW75" s="127"/>
      <c r="AX75" s="127"/>
      <c r="AY75" s="127"/>
      <c r="AZ75" s="125">
        <v>32.024999999999999</v>
      </c>
      <c r="BA75" s="125">
        <v>17.875</v>
      </c>
      <c r="BB75" s="127"/>
      <c r="BC75" s="127"/>
      <c r="BD75" s="127"/>
      <c r="BE75" s="127"/>
      <c r="BF75" s="127"/>
      <c r="BG75" s="127"/>
      <c r="BH75" s="127"/>
      <c r="BI75" s="125">
        <v>63.12</v>
      </c>
      <c r="BJ75" s="125">
        <v>93.03</v>
      </c>
      <c r="BK75" s="127"/>
      <c r="BL75" s="127"/>
      <c r="BM75" s="127"/>
      <c r="BN75" s="127"/>
      <c r="BO75" s="127"/>
      <c r="BP75" s="127"/>
      <c r="BQ75" s="127"/>
      <c r="BR75" s="125">
        <v>1185.32</v>
      </c>
      <c r="BS75" s="125">
        <v>689.45</v>
      </c>
      <c r="BT75" s="127"/>
      <c r="BU75" s="127"/>
      <c r="BV75" s="127"/>
      <c r="BW75" s="127"/>
      <c r="BX75" s="127"/>
      <c r="BY75" s="127"/>
      <c r="BZ75" s="127"/>
      <c r="CA75" s="9">
        <v>31</v>
      </c>
      <c r="CB75" s="7">
        <v>43748</v>
      </c>
      <c r="CC75" s="9">
        <f t="shared" si="37"/>
        <v>-1</v>
      </c>
      <c r="CD75" s="9">
        <v>29</v>
      </c>
      <c r="CE75" s="137">
        <v>43788</v>
      </c>
      <c r="CF75" s="128"/>
      <c r="CG75" s="128"/>
      <c r="CH75" s="39">
        <v>27</v>
      </c>
      <c r="CI75" s="40">
        <v>43819</v>
      </c>
      <c r="CJ75" s="21">
        <v>1</v>
      </c>
      <c r="CK75" s="194"/>
      <c r="CL75" s="61"/>
      <c r="CM75" s="62"/>
      <c r="CN75" s="41"/>
      <c r="CO75" s="42"/>
      <c r="CP75" s="23"/>
      <c r="CQ75" s="39"/>
      <c r="CR75" s="46"/>
      <c r="CS75" s="24"/>
      <c r="CT75" s="39"/>
      <c r="CU75" s="46"/>
      <c r="CV75" s="24"/>
      <c r="CW75" s="9"/>
      <c r="CX75" s="7"/>
      <c r="CY75" s="9"/>
      <c r="CZ75" s="127">
        <f t="shared" si="39"/>
        <v>0.84</v>
      </c>
      <c r="DA75" s="127">
        <f t="shared" si="40"/>
        <v>0.76</v>
      </c>
      <c r="DB75" s="127">
        <f t="shared" si="41"/>
        <v>2</v>
      </c>
      <c r="DC75" s="127"/>
      <c r="DD75" s="127" t="e">
        <f t="shared" ref="DD75:DD93" si="51">((CH75-MIN(CA75,CH75,CK75,CN75,CQ75,CT75,CW75)))/DE75</f>
        <v>#DIV/0!</v>
      </c>
      <c r="DE75" s="9">
        <f t="shared" ref="DE75:DE93" si="52">ROUND((MAX(CI75,CL75,CO75,CR75,CU75,CX75)-CI75)/30.5,0)</f>
        <v>0</v>
      </c>
      <c r="DF75" s="127">
        <f t="shared" ref="DF75:DF93" si="53">((CA75-MIN(CA75,CH75,CK75,CN75,CQ75,CT75,CW75)))/DG75</f>
        <v>2</v>
      </c>
      <c r="DG75" s="9">
        <f t="shared" ref="DG75:DG93" si="54">ROUND((MAX(CI75,CL75,CO75,CR75,CU75,CX75)-CB75)/30.5,0)</f>
        <v>2</v>
      </c>
      <c r="DH75" s="129" t="e">
        <f t="shared" si="46"/>
        <v>#DIV/0!</v>
      </c>
      <c r="DI75" s="129"/>
      <c r="DJ75" s="129">
        <f t="shared" si="47"/>
        <v>1.1600000000000001</v>
      </c>
      <c r="DK75" s="9"/>
      <c r="DL75" s="7"/>
      <c r="DM75" s="9"/>
      <c r="DN75" s="7"/>
      <c r="DO75" s="9">
        <f t="shared" si="48"/>
        <v>22</v>
      </c>
      <c r="DP75" s="114">
        <f t="shared" si="49"/>
        <v>25</v>
      </c>
      <c r="DQ75" s="114">
        <f t="shared" si="50"/>
        <v>1</v>
      </c>
      <c r="DR75" s="131">
        <v>1</v>
      </c>
      <c r="DS75" s="145"/>
      <c r="DT75" s="145"/>
      <c r="DU75" s="145"/>
      <c r="DV75" s="145"/>
      <c r="DW75" s="145"/>
      <c r="DX75" s="145"/>
      <c r="DY75" s="145"/>
      <c r="DZ75" s="145"/>
      <c r="EA75" s="145"/>
      <c r="EB75" s="145"/>
      <c r="EC75" s="145"/>
      <c r="ED75" s="145"/>
      <c r="EE75" s="145"/>
      <c r="EF75" s="136"/>
    </row>
    <row r="76" spans="1:136">
      <c r="A76" s="112">
        <v>2501</v>
      </c>
      <c r="B76" s="142" t="s">
        <v>60</v>
      </c>
      <c r="C76" s="146">
        <v>2754383</v>
      </c>
      <c r="D76" s="115" t="s">
        <v>390</v>
      </c>
      <c r="E76" s="111">
        <v>228</v>
      </c>
      <c r="F76" s="112" t="s">
        <v>313</v>
      </c>
      <c r="G76" s="112"/>
      <c r="H76" s="112" t="s">
        <v>314</v>
      </c>
      <c r="I76" s="112"/>
      <c r="J76" s="113">
        <v>43560</v>
      </c>
      <c r="K76" s="114">
        <v>34</v>
      </c>
      <c r="L76" s="112">
        <v>2</v>
      </c>
      <c r="M76" s="113">
        <v>43191</v>
      </c>
      <c r="N76" s="112">
        <v>2</v>
      </c>
      <c r="O76" s="137">
        <v>43643</v>
      </c>
      <c r="P76" s="5">
        <v>43669</v>
      </c>
      <c r="Q76" s="179"/>
      <c r="R76" s="112"/>
      <c r="S76" s="112"/>
      <c r="T76" s="112"/>
      <c r="U76" s="112"/>
      <c r="V76" s="112"/>
      <c r="W76" s="112"/>
      <c r="X76" s="112"/>
      <c r="Y76" s="180">
        <v>43643</v>
      </c>
      <c r="Z76" s="180">
        <v>43669</v>
      </c>
      <c r="AA76" s="7"/>
      <c r="AB76" s="7"/>
      <c r="AC76" s="7"/>
      <c r="AD76" s="7"/>
      <c r="AE76" s="7"/>
      <c r="AF76" s="7"/>
      <c r="AG76" s="7"/>
      <c r="AH76" s="121">
        <v>1</v>
      </c>
      <c r="AI76" s="124"/>
      <c r="AJ76" s="124"/>
      <c r="AK76" s="124"/>
      <c r="AL76" s="124"/>
      <c r="AM76" s="124"/>
      <c r="AN76" s="124"/>
      <c r="AO76" s="124"/>
      <c r="AP76" s="124"/>
      <c r="AQ76" s="125">
        <v>1099.8</v>
      </c>
      <c r="AR76" s="125">
        <v>1190.5</v>
      </c>
      <c r="AS76" s="126"/>
      <c r="AT76" s="126"/>
      <c r="AU76" s="127"/>
      <c r="AV76" s="127"/>
      <c r="AW76" s="127"/>
      <c r="AX76" s="127"/>
      <c r="AY76" s="127"/>
      <c r="AZ76" s="125">
        <v>1.88</v>
      </c>
      <c r="BA76" s="125">
        <v>3.47</v>
      </c>
      <c r="BB76" s="127"/>
      <c r="BC76" s="127"/>
      <c r="BD76" s="127"/>
      <c r="BE76" s="127"/>
      <c r="BF76" s="127"/>
      <c r="BG76" s="127"/>
      <c r="BH76" s="127"/>
      <c r="BI76" s="125">
        <v>78.2</v>
      </c>
      <c r="BJ76" s="125">
        <v>51.88</v>
      </c>
      <c r="BK76" s="127"/>
      <c r="BL76" s="127"/>
      <c r="BM76" s="127"/>
      <c r="BN76" s="127"/>
      <c r="BO76" s="127"/>
      <c r="BP76" s="127"/>
      <c r="BQ76" s="127"/>
      <c r="BR76" s="125">
        <v>555.95000000000005</v>
      </c>
      <c r="BS76" s="125">
        <v>437.12</v>
      </c>
      <c r="BT76" s="127"/>
      <c r="BU76" s="127"/>
      <c r="BV76" s="127"/>
      <c r="BW76" s="127"/>
      <c r="BX76" s="127"/>
      <c r="BY76" s="127"/>
      <c r="BZ76" s="127"/>
      <c r="CA76" s="9">
        <v>34</v>
      </c>
      <c r="CB76" s="7">
        <v>43560</v>
      </c>
      <c r="CC76" s="9">
        <f t="shared" si="37"/>
        <v>-3</v>
      </c>
      <c r="CD76" s="9">
        <v>33</v>
      </c>
      <c r="CE76" s="137">
        <v>43643</v>
      </c>
      <c r="CF76" s="128"/>
      <c r="CG76" s="128"/>
      <c r="CH76" s="39">
        <v>33</v>
      </c>
      <c r="CI76" s="40">
        <v>43643</v>
      </c>
      <c r="CJ76" s="18">
        <v>0</v>
      </c>
      <c r="CK76" s="39"/>
      <c r="CL76" s="40"/>
      <c r="CM76" s="63"/>
      <c r="CN76" s="41"/>
      <c r="CO76" s="42"/>
      <c r="CP76" s="23"/>
      <c r="CQ76" s="39"/>
      <c r="CR76" s="46"/>
      <c r="CS76" s="24"/>
      <c r="CT76" s="39"/>
      <c r="CU76" s="46"/>
      <c r="CV76" s="29"/>
      <c r="CW76" s="9"/>
      <c r="CX76" s="7"/>
      <c r="CY76" s="9"/>
      <c r="CZ76" s="127">
        <f t="shared" si="39"/>
        <v>1</v>
      </c>
      <c r="DA76" s="127">
        <f t="shared" si="40"/>
        <v>1</v>
      </c>
      <c r="DB76" s="127">
        <f t="shared" si="41"/>
        <v>0.33333333333333331</v>
      </c>
      <c r="DC76" s="127"/>
      <c r="DD76" s="127" t="e">
        <f t="shared" si="51"/>
        <v>#DIV/0!</v>
      </c>
      <c r="DE76" s="9">
        <f t="shared" si="52"/>
        <v>0</v>
      </c>
      <c r="DF76" s="127">
        <f t="shared" si="53"/>
        <v>0.33333333333333331</v>
      </c>
      <c r="DG76" s="9">
        <f t="shared" si="54"/>
        <v>3</v>
      </c>
      <c r="DH76" s="129" t="e">
        <f t="shared" si="46"/>
        <v>#DIV/0!</v>
      </c>
      <c r="DI76" s="129"/>
      <c r="DJ76" s="129">
        <f t="shared" si="47"/>
        <v>-0.66666666666666674</v>
      </c>
      <c r="DK76" s="9"/>
      <c r="DL76" s="7"/>
      <c r="DM76" s="9"/>
      <c r="DN76" s="7"/>
      <c r="DO76" s="9">
        <f t="shared" si="48"/>
        <v>12</v>
      </c>
      <c r="DP76" s="114">
        <f t="shared" si="49"/>
        <v>15</v>
      </c>
      <c r="DQ76" s="114">
        <f t="shared" si="50"/>
        <v>3</v>
      </c>
      <c r="DR76" s="131">
        <v>1</v>
      </c>
      <c r="DS76" s="145"/>
      <c r="DT76" s="145"/>
      <c r="DU76" s="145"/>
      <c r="DV76" s="145"/>
      <c r="DW76" s="145"/>
      <c r="DX76" s="145"/>
      <c r="DY76" s="145"/>
      <c r="DZ76" s="145"/>
      <c r="EA76" s="145"/>
      <c r="EB76" s="145"/>
      <c r="EC76" s="145"/>
      <c r="ED76" s="145"/>
      <c r="EE76" s="145"/>
      <c r="EF76" s="136"/>
    </row>
    <row r="77" spans="1:136">
      <c r="A77" s="112">
        <v>2509</v>
      </c>
      <c r="B77" s="153" t="s">
        <v>61</v>
      </c>
      <c r="C77" s="146">
        <v>2756055</v>
      </c>
      <c r="D77" s="115" t="s">
        <v>391</v>
      </c>
      <c r="E77" s="111">
        <v>220</v>
      </c>
      <c r="F77" s="112" t="s">
        <v>313</v>
      </c>
      <c r="G77" s="112"/>
      <c r="H77" s="112" t="s">
        <v>314</v>
      </c>
      <c r="I77" s="112"/>
      <c r="J77" s="113">
        <v>43574</v>
      </c>
      <c r="K77" s="114">
        <v>37</v>
      </c>
      <c r="L77" s="112">
        <v>0</v>
      </c>
      <c r="M77" s="113">
        <v>43101</v>
      </c>
      <c r="N77" s="112">
        <v>2</v>
      </c>
      <c r="O77" s="137">
        <v>43602</v>
      </c>
      <c r="P77" s="5">
        <v>43628</v>
      </c>
      <c r="Q77" s="179"/>
      <c r="R77" s="112"/>
      <c r="S77" s="112"/>
      <c r="T77" s="112"/>
      <c r="U77" s="112"/>
      <c r="V77" s="112"/>
      <c r="W77" s="112"/>
      <c r="X77" s="112"/>
      <c r="Y77" s="180">
        <v>43602</v>
      </c>
      <c r="Z77" s="180">
        <v>43628</v>
      </c>
      <c r="AA77" s="7"/>
      <c r="AB77" s="7"/>
      <c r="AC77" s="7"/>
      <c r="AD77" s="7"/>
      <c r="AE77" s="7"/>
      <c r="AF77" s="7"/>
      <c r="AG77" s="7"/>
      <c r="AH77" s="121">
        <v>1</v>
      </c>
      <c r="AI77" s="124"/>
      <c r="AJ77" s="121"/>
      <c r="AK77" s="124"/>
      <c r="AL77" s="124"/>
      <c r="AM77" s="124"/>
      <c r="AN77" s="121"/>
      <c r="AO77" s="121"/>
      <c r="AP77" s="121"/>
      <c r="AQ77" s="125">
        <v>1034.5999999999999</v>
      </c>
      <c r="AR77" s="125">
        <v>1429.6000000000001</v>
      </c>
      <c r="AS77" s="126"/>
      <c r="AT77" s="126"/>
      <c r="AU77" s="127"/>
      <c r="AV77" s="127"/>
      <c r="AW77" s="127"/>
      <c r="AX77" s="127"/>
      <c r="AY77" s="127"/>
      <c r="AZ77" s="125">
        <v>2.2400000000000002</v>
      </c>
      <c r="BA77" s="125">
        <v>2.8</v>
      </c>
      <c r="BB77" s="127"/>
      <c r="BC77" s="127"/>
      <c r="BD77" s="127"/>
      <c r="BE77" s="127"/>
      <c r="BF77" s="127"/>
      <c r="BG77" s="127"/>
      <c r="BH77" s="127"/>
      <c r="BI77" s="125">
        <v>37.47</v>
      </c>
      <c r="BJ77" s="125">
        <v>41.31</v>
      </c>
      <c r="BK77" s="127"/>
      <c r="BL77" s="127"/>
      <c r="BM77" s="127"/>
      <c r="BN77" s="127"/>
      <c r="BO77" s="127"/>
      <c r="BP77" s="127"/>
      <c r="BQ77" s="127"/>
      <c r="BR77" s="125">
        <v>1446.48</v>
      </c>
      <c r="BS77" s="125">
        <v>1314.54</v>
      </c>
      <c r="BT77" s="127"/>
      <c r="BU77" s="127"/>
      <c r="BV77" s="127"/>
      <c r="BW77" s="127"/>
      <c r="BX77" s="127"/>
      <c r="BY77" s="127"/>
      <c r="BZ77" s="127"/>
      <c r="CA77" s="9">
        <v>37</v>
      </c>
      <c r="CB77" s="7">
        <v>43574</v>
      </c>
      <c r="CC77" s="9">
        <f t="shared" si="37"/>
        <v>-1</v>
      </c>
      <c r="CD77" s="9">
        <v>37</v>
      </c>
      <c r="CE77" s="137">
        <v>43602</v>
      </c>
      <c r="CF77" s="128"/>
      <c r="CG77" s="128"/>
      <c r="CH77" s="39">
        <v>37</v>
      </c>
      <c r="CI77" s="40">
        <v>43574</v>
      </c>
      <c r="CJ77" s="18">
        <v>-1</v>
      </c>
      <c r="CK77" s="39"/>
      <c r="CL77" s="40"/>
      <c r="CM77" s="63"/>
      <c r="CN77" s="41"/>
      <c r="CO77" s="42"/>
      <c r="CP77" s="23"/>
      <c r="CQ77" s="39"/>
      <c r="CR77" s="46"/>
      <c r="CS77" s="24"/>
      <c r="CT77" s="39"/>
      <c r="CU77" s="46"/>
      <c r="CV77" s="29"/>
      <c r="CW77" s="9"/>
      <c r="CX77" s="7"/>
      <c r="CY77" s="9"/>
      <c r="CZ77" s="127">
        <f t="shared" si="39"/>
        <v>0.6875</v>
      </c>
      <c r="DA77" s="127">
        <f t="shared" si="40"/>
        <v>0.6875</v>
      </c>
      <c r="DB77" s="127">
        <f t="shared" si="41"/>
        <v>0</v>
      </c>
      <c r="DC77" s="127"/>
      <c r="DD77" s="127" t="e">
        <f t="shared" si="51"/>
        <v>#DIV/0!</v>
      </c>
      <c r="DE77" s="9">
        <f t="shared" si="52"/>
        <v>0</v>
      </c>
      <c r="DF77" s="127" t="e">
        <f t="shared" si="53"/>
        <v>#DIV/0!</v>
      </c>
      <c r="DG77" s="9">
        <f t="shared" si="54"/>
        <v>0</v>
      </c>
      <c r="DH77" s="129" t="e">
        <f t="shared" si="46"/>
        <v>#DIV/0!</v>
      </c>
      <c r="DI77" s="129"/>
      <c r="DJ77" s="129" t="e">
        <f t="shared" si="47"/>
        <v>#DIV/0!</v>
      </c>
      <c r="DK77" s="9"/>
      <c r="DL77" s="7"/>
      <c r="DM77" s="9"/>
      <c r="DN77" s="7"/>
      <c r="DO77" s="9">
        <f t="shared" si="48"/>
        <v>16</v>
      </c>
      <c r="DP77" s="114">
        <f t="shared" si="49"/>
        <v>16</v>
      </c>
      <c r="DQ77" s="114">
        <f t="shared" si="50"/>
        <v>1</v>
      </c>
      <c r="DR77" s="131">
        <v>1</v>
      </c>
      <c r="DS77" s="145"/>
      <c r="DT77" s="145"/>
      <c r="DU77" s="145"/>
      <c r="DV77" s="145"/>
      <c r="DW77" s="145"/>
      <c r="DX77" s="145"/>
      <c r="DY77" s="145"/>
      <c r="DZ77" s="145"/>
      <c r="EA77" s="145"/>
      <c r="EB77" s="145"/>
      <c r="EC77" s="145"/>
      <c r="ED77" s="145"/>
      <c r="EE77" s="145"/>
      <c r="EF77" s="156"/>
    </row>
    <row r="78" spans="1:136">
      <c r="A78" s="112">
        <v>2388</v>
      </c>
      <c r="B78" s="153" t="s">
        <v>62</v>
      </c>
      <c r="C78" s="146">
        <v>2739573</v>
      </c>
      <c r="D78" s="115" t="s">
        <v>392</v>
      </c>
      <c r="E78" s="148">
        <v>222</v>
      </c>
      <c r="F78" s="112" t="s">
        <v>318</v>
      </c>
      <c r="G78" s="112"/>
      <c r="H78" s="112"/>
      <c r="I78" s="112"/>
      <c r="J78" s="113">
        <v>43434</v>
      </c>
      <c r="K78" s="114">
        <v>44</v>
      </c>
      <c r="L78" s="112">
        <v>6</v>
      </c>
      <c r="M78" s="113">
        <v>43040</v>
      </c>
      <c r="N78" s="112">
        <v>2</v>
      </c>
      <c r="O78" s="137">
        <v>43615</v>
      </c>
      <c r="P78" s="5">
        <v>43641</v>
      </c>
      <c r="Q78" s="179"/>
      <c r="R78" s="112"/>
      <c r="S78" s="112"/>
      <c r="T78" s="112"/>
      <c r="U78" s="112"/>
      <c r="V78" s="112"/>
      <c r="W78" s="112"/>
      <c r="X78" s="112"/>
      <c r="Y78" s="140">
        <v>43615</v>
      </c>
      <c r="Z78" s="140">
        <v>43641</v>
      </c>
      <c r="AA78" s="7"/>
      <c r="AB78" s="7"/>
      <c r="AC78" s="7"/>
      <c r="AD78" s="7"/>
      <c r="AE78" s="7"/>
      <c r="AF78" s="7"/>
      <c r="AG78" s="7"/>
      <c r="AH78" s="121">
        <v>1</v>
      </c>
      <c r="AI78" s="124"/>
      <c r="AJ78" s="124"/>
      <c r="AK78" s="124"/>
      <c r="AL78" s="124"/>
      <c r="AM78" s="124"/>
      <c r="AN78" s="121"/>
      <c r="AO78" s="121"/>
      <c r="AP78" s="121"/>
      <c r="AQ78" s="125">
        <v>1402.5</v>
      </c>
      <c r="AR78" s="125">
        <v>1437.3</v>
      </c>
      <c r="AS78" s="126"/>
      <c r="AT78" s="126"/>
      <c r="AU78" s="127"/>
      <c r="AV78" s="127"/>
      <c r="AW78" s="127"/>
      <c r="AX78" s="127"/>
      <c r="AY78" s="127"/>
      <c r="AZ78" s="125">
        <v>3.5999999999999996</v>
      </c>
      <c r="BA78" s="125">
        <v>2.3000000000000003</v>
      </c>
      <c r="BB78" s="127"/>
      <c r="BC78" s="127"/>
      <c r="BD78" s="127"/>
      <c r="BE78" s="127"/>
      <c r="BF78" s="127"/>
      <c r="BG78" s="127"/>
      <c r="BH78" s="127"/>
      <c r="BI78" s="125">
        <v>61.88</v>
      </c>
      <c r="BJ78" s="125">
        <v>53.35</v>
      </c>
      <c r="BK78" s="127"/>
      <c r="BL78" s="127"/>
      <c r="BM78" s="127"/>
      <c r="BN78" s="127"/>
      <c r="BO78" s="127"/>
      <c r="BP78" s="127"/>
      <c r="BQ78" s="127"/>
      <c r="BR78" s="125">
        <v>1912.64</v>
      </c>
      <c r="BS78" s="125">
        <v>1589.78</v>
      </c>
      <c r="BT78" s="127"/>
      <c r="BU78" s="127"/>
      <c r="BV78" s="127"/>
      <c r="BW78" s="127"/>
      <c r="BX78" s="127"/>
      <c r="BY78" s="127"/>
      <c r="BZ78" s="127"/>
      <c r="CA78" s="9">
        <v>44</v>
      </c>
      <c r="CB78" s="7">
        <v>43434</v>
      </c>
      <c r="CC78" s="9">
        <f t="shared" si="37"/>
        <v>-6</v>
      </c>
      <c r="CD78" s="9">
        <v>39</v>
      </c>
      <c r="CE78" s="137">
        <v>43615</v>
      </c>
      <c r="CF78" s="128"/>
      <c r="CG78" s="128"/>
      <c r="CH78" s="39">
        <v>39</v>
      </c>
      <c r="CI78" s="40">
        <v>43615</v>
      </c>
      <c r="CJ78" s="18">
        <v>0</v>
      </c>
      <c r="CK78" s="67"/>
      <c r="CL78" s="68"/>
      <c r="CM78" s="195"/>
      <c r="CN78" s="41"/>
      <c r="CO78" s="42"/>
      <c r="CP78" s="23"/>
      <c r="CQ78" s="39"/>
      <c r="CR78" s="46"/>
      <c r="CS78" s="24"/>
      <c r="CT78" s="39"/>
      <c r="CU78" s="46"/>
      <c r="CV78" s="29"/>
      <c r="CW78" s="9"/>
      <c r="CX78" s="7"/>
      <c r="CY78" s="9"/>
      <c r="CZ78" s="127">
        <f t="shared" si="39"/>
        <v>0.47368421052631576</v>
      </c>
      <c r="DA78" s="127">
        <f t="shared" si="40"/>
        <v>0.47368421052631576</v>
      </c>
      <c r="DB78" s="127">
        <f t="shared" si="41"/>
        <v>0.83333333333333337</v>
      </c>
      <c r="DC78" s="127"/>
      <c r="DD78" s="127" t="e">
        <f t="shared" si="51"/>
        <v>#DIV/0!</v>
      </c>
      <c r="DE78" s="9">
        <f t="shared" si="52"/>
        <v>0</v>
      </c>
      <c r="DF78" s="127">
        <f t="shared" si="53"/>
        <v>0.83333333333333337</v>
      </c>
      <c r="DG78" s="9">
        <f t="shared" si="54"/>
        <v>6</v>
      </c>
      <c r="DH78" s="129" t="e">
        <f t="shared" si="46"/>
        <v>#DIV/0!</v>
      </c>
      <c r="DI78" s="129"/>
      <c r="DJ78" s="129">
        <f t="shared" si="47"/>
        <v>0.35964912280701761</v>
      </c>
      <c r="DK78" s="9"/>
      <c r="DL78" s="7"/>
      <c r="DM78" s="9"/>
      <c r="DN78" s="7"/>
      <c r="DO78" s="9">
        <f t="shared" si="48"/>
        <v>13</v>
      </c>
      <c r="DP78" s="114">
        <f t="shared" si="49"/>
        <v>19</v>
      </c>
      <c r="DQ78" s="114">
        <f t="shared" si="50"/>
        <v>6</v>
      </c>
      <c r="DR78" s="131">
        <v>1</v>
      </c>
      <c r="DS78" s="145"/>
      <c r="DT78" s="145"/>
      <c r="DU78" s="145"/>
      <c r="DV78" s="145"/>
      <c r="DW78" s="145"/>
      <c r="DX78" s="145"/>
      <c r="DY78" s="145"/>
      <c r="DZ78" s="145"/>
      <c r="EA78" s="145"/>
      <c r="EB78" s="145"/>
      <c r="EC78" s="145"/>
      <c r="ED78" s="145"/>
      <c r="EE78" s="145"/>
      <c r="EF78" s="136"/>
    </row>
    <row r="79" spans="1:136">
      <c r="A79" s="112">
        <v>2457</v>
      </c>
      <c r="B79" s="153" t="s">
        <v>311</v>
      </c>
      <c r="C79" s="146">
        <v>2747729</v>
      </c>
      <c r="D79" s="115" t="s">
        <v>393</v>
      </c>
      <c r="E79" s="111">
        <v>208</v>
      </c>
      <c r="F79" s="112" t="s">
        <v>313</v>
      </c>
      <c r="G79" s="112"/>
      <c r="H79" s="112" t="s">
        <v>314</v>
      </c>
      <c r="I79" s="112"/>
      <c r="J79" s="113">
        <v>43510</v>
      </c>
      <c r="K79" s="114">
        <v>39</v>
      </c>
      <c r="L79" s="112">
        <v>1</v>
      </c>
      <c r="M79" s="113">
        <v>43040</v>
      </c>
      <c r="N79" s="112">
        <v>2</v>
      </c>
      <c r="O79" s="137">
        <v>43538</v>
      </c>
      <c r="P79" s="5">
        <v>43564</v>
      </c>
      <c r="Q79" s="179"/>
      <c r="R79" s="112"/>
      <c r="S79" s="112"/>
      <c r="T79" s="112"/>
      <c r="U79" s="112"/>
      <c r="V79" s="112"/>
      <c r="W79" s="112"/>
      <c r="X79" s="112"/>
      <c r="Y79" s="140">
        <v>43538</v>
      </c>
      <c r="Z79" s="140">
        <v>43564</v>
      </c>
      <c r="AA79" s="7"/>
      <c r="AB79" s="7"/>
      <c r="AC79" s="7"/>
      <c r="AD79" s="7"/>
      <c r="AE79" s="7"/>
      <c r="AF79" s="7"/>
      <c r="AG79" s="7"/>
      <c r="AH79" s="121">
        <v>1</v>
      </c>
      <c r="AI79" s="124"/>
      <c r="AJ79" s="124"/>
      <c r="AK79" s="124"/>
      <c r="AL79" s="124"/>
      <c r="AM79" s="124"/>
      <c r="AN79" s="124"/>
      <c r="AO79" s="124"/>
      <c r="AP79" s="124"/>
      <c r="AQ79" s="125">
        <v>1518.6000000000001</v>
      </c>
      <c r="AR79" s="125">
        <v>53.8</v>
      </c>
      <c r="AS79" s="126"/>
      <c r="AT79" s="126"/>
      <c r="AU79" s="127"/>
      <c r="AV79" s="127"/>
      <c r="AW79" s="127"/>
      <c r="AX79" s="127"/>
      <c r="AY79" s="127"/>
      <c r="AZ79" s="125">
        <v>2.1</v>
      </c>
      <c r="BA79" s="125">
        <v>0</v>
      </c>
      <c r="BB79" s="127"/>
      <c r="BC79" s="127"/>
      <c r="BD79" s="127"/>
      <c r="BE79" s="127"/>
      <c r="BF79" s="127"/>
      <c r="BG79" s="127"/>
      <c r="BH79" s="127"/>
      <c r="BI79" s="125">
        <v>50.41</v>
      </c>
      <c r="BJ79" s="125">
        <v>0.08</v>
      </c>
      <c r="BK79" s="127"/>
      <c r="BL79" s="127"/>
      <c r="BM79" s="127"/>
      <c r="BN79" s="127"/>
      <c r="BO79" s="127"/>
      <c r="BP79" s="127"/>
      <c r="BQ79" s="127"/>
      <c r="BR79" s="125">
        <v>741.48</v>
      </c>
      <c r="BS79" s="125">
        <v>2.5099999999999998</v>
      </c>
      <c r="BT79" s="127"/>
      <c r="BU79" s="127"/>
      <c r="BV79" s="127"/>
      <c r="BW79" s="127"/>
      <c r="BX79" s="127"/>
      <c r="BY79" s="127"/>
      <c r="BZ79" s="127"/>
      <c r="CA79" s="9">
        <v>39</v>
      </c>
      <c r="CB79" s="7">
        <v>43510</v>
      </c>
      <c r="CC79" s="9">
        <f t="shared" si="37"/>
        <v>-1</v>
      </c>
      <c r="CD79" s="9">
        <v>38</v>
      </c>
      <c r="CE79" s="137">
        <v>43538</v>
      </c>
      <c r="CF79" s="128"/>
      <c r="CG79" s="128"/>
      <c r="CH79" s="8">
        <v>39</v>
      </c>
      <c r="CI79" s="6">
        <v>43510</v>
      </c>
      <c r="CJ79" s="18"/>
      <c r="CK79" s="39"/>
      <c r="CL79" s="40"/>
      <c r="CM79" s="21"/>
      <c r="CN79" s="41"/>
      <c r="CO79" s="42"/>
      <c r="CP79" s="23"/>
      <c r="CQ79" s="39"/>
      <c r="CR79" s="46"/>
      <c r="CS79" s="24"/>
      <c r="CT79" s="39"/>
      <c r="CU79" s="46"/>
      <c r="CV79" s="29"/>
      <c r="CW79" s="9"/>
      <c r="CX79" s="7"/>
      <c r="CY79" s="9"/>
      <c r="CZ79" s="127">
        <f t="shared" si="39"/>
        <v>0.6</v>
      </c>
      <c r="DA79" s="127">
        <f t="shared" si="40"/>
        <v>0.66666666666666663</v>
      </c>
      <c r="DB79" s="127">
        <f t="shared" si="41"/>
        <v>1</v>
      </c>
      <c r="DC79" s="127"/>
      <c r="DD79" s="127" t="e">
        <f t="shared" si="51"/>
        <v>#DIV/0!</v>
      </c>
      <c r="DE79" s="9">
        <f t="shared" si="52"/>
        <v>0</v>
      </c>
      <c r="DF79" s="127" t="e">
        <f t="shared" si="53"/>
        <v>#DIV/0!</v>
      </c>
      <c r="DG79" s="9">
        <f t="shared" si="54"/>
        <v>0</v>
      </c>
      <c r="DH79" s="129" t="e">
        <f t="shared" si="46"/>
        <v>#DIV/0!</v>
      </c>
      <c r="DI79" s="129"/>
      <c r="DJ79" s="129" t="e">
        <f t="shared" si="47"/>
        <v>#DIV/0!</v>
      </c>
      <c r="DK79" s="9"/>
      <c r="DL79" s="7"/>
      <c r="DM79" s="9"/>
      <c r="DN79" s="7"/>
      <c r="DO79" s="9">
        <f t="shared" si="48"/>
        <v>15</v>
      </c>
      <c r="DP79" s="114">
        <f t="shared" si="49"/>
        <v>15</v>
      </c>
      <c r="DQ79" s="114">
        <f t="shared" si="50"/>
        <v>1</v>
      </c>
      <c r="DR79" s="131">
        <v>1</v>
      </c>
      <c r="DS79" s="145"/>
      <c r="DT79" s="145"/>
      <c r="DU79" s="145"/>
      <c r="DV79" s="145"/>
      <c r="DW79" s="145"/>
      <c r="DX79" s="145"/>
      <c r="DY79" s="145"/>
      <c r="DZ79" s="145"/>
      <c r="EA79" s="145"/>
      <c r="EB79" s="145"/>
      <c r="EC79" s="145"/>
      <c r="ED79" s="145"/>
      <c r="EE79" s="145"/>
      <c r="EF79" s="136"/>
    </row>
    <row r="80" spans="1:136">
      <c r="A80" s="112">
        <v>2364</v>
      </c>
      <c r="B80" s="153" t="s">
        <v>63</v>
      </c>
      <c r="C80" s="146">
        <v>2733803</v>
      </c>
      <c r="D80" s="115" t="s">
        <v>394</v>
      </c>
      <c r="E80" s="111">
        <v>195</v>
      </c>
      <c r="F80" s="112" t="s">
        <v>313</v>
      </c>
      <c r="G80" s="112">
        <v>1</v>
      </c>
      <c r="H80" s="112" t="s">
        <v>319</v>
      </c>
      <c r="I80" s="112"/>
      <c r="J80" s="113">
        <v>43398</v>
      </c>
      <c r="K80" s="114">
        <v>14</v>
      </c>
      <c r="L80" s="112">
        <v>0</v>
      </c>
      <c r="M80" s="113">
        <v>41640</v>
      </c>
      <c r="N80" s="112">
        <v>2</v>
      </c>
      <c r="O80" s="137">
        <v>43427</v>
      </c>
      <c r="P80" s="5">
        <v>43453</v>
      </c>
      <c r="Q80" s="179"/>
      <c r="R80" s="112"/>
      <c r="S80" s="112"/>
      <c r="T80" s="112"/>
      <c r="U80" s="112"/>
      <c r="V80" s="112"/>
      <c r="W80" s="112"/>
      <c r="X80" s="112"/>
      <c r="Y80" s="140">
        <v>43427</v>
      </c>
      <c r="Z80" s="140">
        <v>43453</v>
      </c>
      <c r="AA80" s="7"/>
      <c r="AB80" s="7"/>
      <c r="AC80" s="7"/>
      <c r="AD80" s="7"/>
      <c r="AE80" s="7"/>
      <c r="AF80" s="7"/>
      <c r="AG80" s="7"/>
      <c r="AH80" s="121">
        <v>1</v>
      </c>
      <c r="AI80" s="124"/>
      <c r="AJ80" s="124"/>
      <c r="AK80" s="124"/>
      <c r="AL80" s="121"/>
      <c r="AM80" s="121"/>
      <c r="AN80" s="121"/>
      <c r="AO80" s="121"/>
      <c r="AP80" s="121"/>
      <c r="AQ80" s="125">
        <v>850.19999999999993</v>
      </c>
      <c r="AR80" s="125">
        <v>1626.5</v>
      </c>
      <c r="AS80" s="126"/>
      <c r="AT80" s="126"/>
      <c r="AU80" s="127"/>
      <c r="AV80" s="127"/>
      <c r="AW80" s="127"/>
      <c r="AX80" s="127"/>
      <c r="AY80" s="127"/>
      <c r="AZ80" s="125">
        <v>1.38</v>
      </c>
      <c r="BA80" s="125">
        <v>2.4700000000000002</v>
      </c>
      <c r="BB80" s="127"/>
      <c r="BC80" s="127"/>
      <c r="BD80" s="127"/>
      <c r="BE80" s="127"/>
      <c r="BF80" s="127"/>
      <c r="BG80" s="127"/>
      <c r="BH80" s="127"/>
      <c r="BI80" s="125">
        <v>21.98</v>
      </c>
      <c r="BJ80" s="125">
        <v>41.06</v>
      </c>
      <c r="BK80" s="127"/>
      <c r="BL80" s="127"/>
      <c r="BM80" s="127"/>
      <c r="BN80" s="127"/>
      <c r="BO80" s="127"/>
      <c r="BP80" s="127"/>
      <c r="BQ80" s="127"/>
      <c r="BR80" s="125">
        <v>779.06</v>
      </c>
      <c r="BS80" s="125">
        <v>255.42</v>
      </c>
      <c r="BT80" s="127"/>
      <c r="BU80" s="127"/>
      <c r="BV80" s="127"/>
      <c r="BW80" s="127"/>
      <c r="BX80" s="127"/>
      <c r="BY80" s="127"/>
      <c r="BZ80" s="127"/>
      <c r="CA80" s="9">
        <v>14</v>
      </c>
      <c r="CB80" s="7">
        <v>43398</v>
      </c>
      <c r="CC80" s="9">
        <f t="shared" si="37"/>
        <v>-1</v>
      </c>
      <c r="CD80" s="9">
        <v>13</v>
      </c>
      <c r="CE80" s="137">
        <v>43427</v>
      </c>
      <c r="CF80" s="128"/>
      <c r="CG80" s="128"/>
      <c r="CH80" s="39">
        <v>13</v>
      </c>
      <c r="CI80" s="40">
        <v>43427</v>
      </c>
      <c r="CJ80" s="18">
        <v>0</v>
      </c>
      <c r="CK80" s="39"/>
      <c r="CL80" s="40"/>
      <c r="CM80" s="63"/>
      <c r="CN80" s="41"/>
      <c r="CO80" s="42"/>
      <c r="CP80" s="23"/>
      <c r="CQ80" s="39"/>
      <c r="CR80" s="46"/>
      <c r="CS80" s="24"/>
      <c r="CT80" s="39"/>
      <c r="CU80" s="46"/>
      <c r="CV80" s="29"/>
      <c r="CW80" s="9"/>
      <c r="CX80" s="7"/>
      <c r="CY80" s="9"/>
      <c r="CZ80" s="127">
        <f t="shared" si="39"/>
        <v>0.59322033898305082</v>
      </c>
      <c r="DA80" s="127">
        <f t="shared" si="40"/>
        <v>0.59322033898305082</v>
      </c>
      <c r="DB80" s="127">
        <f t="shared" si="41"/>
        <v>1</v>
      </c>
      <c r="DC80" s="127"/>
      <c r="DD80" s="127" t="e">
        <f t="shared" si="51"/>
        <v>#DIV/0!</v>
      </c>
      <c r="DE80" s="9">
        <f t="shared" si="52"/>
        <v>0</v>
      </c>
      <c r="DF80" s="127">
        <f t="shared" si="53"/>
        <v>1</v>
      </c>
      <c r="DG80" s="9">
        <f t="shared" si="54"/>
        <v>1</v>
      </c>
      <c r="DH80" s="129" t="e">
        <f t="shared" si="46"/>
        <v>#DIV/0!</v>
      </c>
      <c r="DI80" s="129"/>
      <c r="DJ80" s="129">
        <f t="shared" si="47"/>
        <v>0.40677966101694918</v>
      </c>
      <c r="DK80" s="9"/>
      <c r="DL80" s="7"/>
      <c r="DM80" s="9"/>
      <c r="DN80" s="7"/>
      <c r="DO80" s="9">
        <f t="shared" si="48"/>
        <v>58</v>
      </c>
      <c r="DP80" s="114">
        <f t="shared" si="49"/>
        <v>59</v>
      </c>
      <c r="DQ80" s="114">
        <f t="shared" si="50"/>
        <v>1</v>
      </c>
      <c r="DR80" s="131">
        <v>1</v>
      </c>
      <c r="DS80" s="145"/>
      <c r="DT80" s="145"/>
      <c r="DU80" s="145"/>
      <c r="DV80" s="145"/>
      <c r="DW80" s="145"/>
      <c r="DX80" s="145"/>
      <c r="DY80" s="145"/>
      <c r="DZ80" s="145"/>
      <c r="EA80" s="145"/>
      <c r="EB80" s="145"/>
      <c r="EC80" s="145"/>
      <c r="ED80" s="145"/>
      <c r="EE80" s="145"/>
      <c r="EF80" s="136"/>
    </row>
    <row r="81" spans="1:136">
      <c r="A81" s="112">
        <v>2339</v>
      </c>
      <c r="B81" s="153" t="s">
        <v>64</v>
      </c>
      <c r="C81" s="146">
        <v>2730171</v>
      </c>
      <c r="D81" s="115" t="s">
        <v>395</v>
      </c>
      <c r="E81" s="111">
        <v>192</v>
      </c>
      <c r="F81" s="112" t="s">
        <v>313</v>
      </c>
      <c r="G81" s="112">
        <v>1</v>
      </c>
      <c r="H81" s="112" t="s">
        <v>319</v>
      </c>
      <c r="I81" s="112"/>
      <c r="J81" s="113">
        <v>43364</v>
      </c>
      <c r="K81" s="114">
        <v>42</v>
      </c>
      <c r="L81" s="112">
        <v>0</v>
      </c>
      <c r="M81" s="113">
        <v>42979</v>
      </c>
      <c r="N81" s="112">
        <v>2</v>
      </c>
      <c r="O81" s="137">
        <v>43392</v>
      </c>
      <c r="P81" s="5">
        <v>43418</v>
      </c>
      <c r="Q81" s="179"/>
      <c r="R81" s="112"/>
      <c r="S81" s="112"/>
      <c r="T81" s="112"/>
      <c r="U81" s="112"/>
      <c r="V81" s="112"/>
      <c r="W81" s="112"/>
      <c r="X81" s="112"/>
      <c r="Y81" s="140">
        <v>43392</v>
      </c>
      <c r="Z81" s="140">
        <v>43418</v>
      </c>
      <c r="AA81" s="7"/>
      <c r="AB81" s="7"/>
      <c r="AC81" s="7"/>
      <c r="AD81" s="7"/>
      <c r="AE81" s="7"/>
      <c r="AF81" s="7"/>
      <c r="AG81" s="7"/>
      <c r="AH81" s="121">
        <v>1</v>
      </c>
      <c r="AI81" s="124"/>
      <c r="AJ81" s="121"/>
      <c r="AK81" s="124"/>
      <c r="AL81" s="124"/>
      <c r="AM81" s="124"/>
      <c r="AN81" s="124"/>
      <c r="AO81" s="124"/>
      <c r="AP81" s="124"/>
      <c r="AQ81" s="125">
        <v>1213.0999999999999</v>
      </c>
      <c r="AR81" s="125">
        <v>1475.1</v>
      </c>
      <c r="AS81" s="126"/>
      <c r="AT81" s="126"/>
      <c r="AU81" s="127"/>
      <c r="AV81" s="127"/>
      <c r="AW81" s="127"/>
      <c r="AX81" s="127"/>
      <c r="AY81" s="127"/>
      <c r="AZ81" s="125">
        <v>1.57</v>
      </c>
      <c r="BA81" s="125">
        <v>1.83</v>
      </c>
      <c r="BB81" s="127"/>
      <c r="BC81" s="127"/>
      <c r="BD81" s="127"/>
      <c r="BE81" s="127"/>
      <c r="BF81" s="127"/>
      <c r="BG81" s="127"/>
      <c r="BH81" s="127"/>
      <c r="BI81" s="125">
        <v>24.1</v>
      </c>
      <c r="BJ81" s="125">
        <v>30.77</v>
      </c>
      <c r="BK81" s="127"/>
      <c r="BL81" s="127"/>
      <c r="BM81" s="127"/>
      <c r="BN81" s="127"/>
      <c r="BO81" s="127"/>
      <c r="BP81" s="127"/>
      <c r="BQ81" s="127"/>
      <c r="BR81" s="125">
        <v>977.88</v>
      </c>
      <c r="BS81" s="125">
        <v>754.02</v>
      </c>
      <c r="BT81" s="127"/>
      <c r="BU81" s="127"/>
      <c r="BV81" s="127"/>
      <c r="BW81" s="127"/>
      <c r="BX81" s="127"/>
      <c r="BY81" s="127"/>
      <c r="BZ81" s="127"/>
      <c r="CA81" s="9">
        <v>42</v>
      </c>
      <c r="CB81" s="7">
        <v>43364</v>
      </c>
      <c r="CC81" s="9">
        <f t="shared" si="37"/>
        <v>-1</v>
      </c>
      <c r="CD81" s="9">
        <v>42</v>
      </c>
      <c r="CE81" s="137">
        <v>43392</v>
      </c>
      <c r="CF81" s="128"/>
      <c r="CG81" s="128"/>
      <c r="CH81" s="39">
        <v>42</v>
      </c>
      <c r="CI81" s="40">
        <v>43392</v>
      </c>
      <c r="CJ81" s="18">
        <v>0</v>
      </c>
      <c r="CK81" s="39"/>
      <c r="CL81" s="40"/>
      <c r="CM81" s="63"/>
      <c r="CN81" s="41"/>
      <c r="CO81" s="42"/>
      <c r="CP81" s="23"/>
      <c r="CQ81" s="39"/>
      <c r="CR81" s="46"/>
      <c r="CS81" s="24"/>
      <c r="CT81" s="39"/>
      <c r="CU81" s="46"/>
      <c r="CV81" s="29"/>
      <c r="CW81" s="9"/>
      <c r="CX81" s="7"/>
      <c r="CY81" s="9"/>
      <c r="CZ81" s="127">
        <f t="shared" si="39"/>
        <v>0.42857142857142855</v>
      </c>
      <c r="DA81" s="127">
        <f t="shared" si="40"/>
        <v>0.42857142857142855</v>
      </c>
      <c r="DB81" s="127">
        <f t="shared" si="41"/>
        <v>0</v>
      </c>
      <c r="DC81" s="127"/>
      <c r="DD81" s="127" t="e">
        <f t="shared" si="51"/>
        <v>#DIV/0!</v>
      </c>
      <c r="DE81" s="9">
        <f t="shared" si="52"/>
        <v>0</v>
      </c>
      <c r="DF81" s="127">
        <f t="shared" si="53"/>
        <v>0</v>
      </c>
      <c r="DG81" s="9">
        <f t="shared" si="54"/>
        <v>1</v>
      </c>
      <c r="DH81" s="129" t="e">
        <f t="shared" si="46"/>
        <v>#DIV/0!</v>
      </c>
      <c r="DI81" s="129"/>
      <c r="DJ81" s="129">
        <f t="shared" si="47"/>
        <v>-0.42857142857142855</v>
      </c>
      <c r="DK81" s="9"/>
      <c r="DL81" s="7"/>
      <c r="DM81" s="9"/>
      <c r="DN81" s="7"/>
      <c r="DO81" s="9">
        <f t="shared" si="48"/>
        <v>13</v>
      </c>
      <c r="DP81" s="114">
        <f t="shared" si="49"/>
        <v>14</v>
      </c>
      <c r="DQ81" s="114">
        <f t="shared" si="50"/>
        <v>1</v>
      </c>
      <c r="DR81" s="131">
        <v>1</v>
      </c>
      <c r="DS81" s="145"/>
      <c r="DT81" s="145"/>
      <c r="DU81" s="145"/>
      <c r="DV81" s="145"/>
      <c r="DW81" s="145"/>
      <c r="DX81" s="145"/>
      <c r="DY81" s="145"/>
      <c r="DZ81" s="145"/>
      <c r="EA81" s="145"/>
      <c r="EB81" s="145"/>
      <c r="EC81" s="145"/>
      <c r="ED81" s="145"/>
      <c r="EE81" s="145"/>
      <c r="EF81" s="136"/>
    </row>
    <row r="82" spans="1:136">
      <c r="A82" s="112">
        <v>2351</v>
      </c>
      <c r="B82" s="153" t="s">
        <v>311</v>
      </c>
      <c r="C82" s="146">
        <v>2731971</v>
      </c>
      <c r="D82" s="112" t="s">
        <v>396</v>
      </c>
      <c r="E82" s="111">
        <v>188</v>
      </c>
      <c r="F82" s="112" t="s">
        <v>313</v>
      </c>
      <c r="G82" s="112"/>
      <c r="H82" s="112" t="s">
        <v>319</v>
      </c>
      <c r="I82" s="112"/>
      <c r="J82" s="113">
        <v>43378</v>
      </c>
      <c r="K82" s="114">
        <v>39</v>
      </c>
      <c r="L82" s="115">
        <v>1</v>
      </c>
      <c r="M82" s="113">
        <v>43009</v>
      </c>
      <c r="N82" s="112">
        <v>2</v>
      </c>
      <c r="O82" s="137">
        <v>43427</v>
      </c>
      <c r="P82" s="5">
        <v>43453</v>
      </c>
      <c r="Q82" s="179"/>
      <c r="R82" s="112"/>
      <c r="S82" s="112"/>
      <c r="T82" s="112"/>
      <c r="U82" s="112"/>
      <c r="V82" s="112"/>
      <c r="W82" s="112"/>
      <c r="X82" s="112"/>
      <c r="Y82" s="140">
        <v>43427</v>
      </c>
      <c r="Z82" s="140">
        <v>43453</v>
      </c>
      <c r="AA82" s="7"/>
      <c r="AB82" s="7"/>
      <c r="AC82" s="7"/>
      <c r="AD82" s="7"/>
      <c r="AE82" s="7"/>
      <c r="AF82" s="7"/>
      <c r="AG82" s="7"/>
      <c r="AH82" s="121">
        <v>1</v>
      </c>
      <c r="AI82" s="124"/>
      <c r="AJ82" s="121"/>
      <c r="AK82" s="124"/>
      <c r="AL82" s="124"/>
      <c r="AM82" s="124"/>
      <c r="AN82" s="124"/>
      <c r="AO82" s="124"/>
      <c r="AP82" s="124"/>
      <c r="AQ82" s="125">
        <v>857.4</v>
      </c>
      <c r="AR82" s="125">
        <v>1389</v>
      </c>
      <c r="AS82" s="126"/>
      <c r="AT82" s="126"/>
      <c r="AU82" s="127"/>
      <c r="AV82" s="127"/>
      <c r="AW82" s="127"/>
      <c r="AX82" s="127"/>
      <c r="AY82" s="127"/>
      <c r="AZ82" s="125">
        <v>2.4700000000000002</v>
      </c>
      <c r="BA82" s="125">
        <v>16.29</v>
      </c>
      <c r="BB82" s="127"/>
      <c r="BC82" s="127"/>
      <c r="BD82" s="127"/>
      <c r="BE82" s="127"/>
      <c r="BF82" s="127"/>
      <c r="BG82" s="127"/>
      <c r="BH82" s="127"/>
      <c r="BI82" s="125">
        <v>32.07</v>
      </c>
      <c r="BJ82" s="125">
        <v>39.39</v>
      </c>
      <c r="BK82" s="127"/>
      <c r="BL82" s="127"/>
      <c r="BM82" s="127"/>
      <c r="BN82" s="127"/>
      <c r="BO82" s="127"/>
      <c r="BP82" s="127"/>
      <c r="BQ82" s="127"/>
      <c r="BR82" s="125">
        <v>1018.84</v>
      </c>
      <c r="BS82" s="125">
        <v>452.37</v>
      </c>
      <c r="BT82" s="127"/>
      <c r="BU82" s="127"/>
      <c r="BV82" s="127"/>
      <c r="BW82" s="127"/>
      <c r="BX82" s="127"/>
      <c r="BY82" s="127"/>
      <c r="BZ82" s="127"/>
      <c r="CA82" s="9">
        <v>39</v>
      </c>
      <c r="CB82" s="7">
        <v>43364</v>
      </c>
      <c r="CC82" s="9">
        <f t="shared" si="37"/>
        <v>-2</v>
      </c>
      <c r="CD82" s="9">
        <v>39</v>
      </c>
      <c r="CE82" s="182">
        <v>43364</v>
      </c>
      <c r="CF82" s="128"/>
      <c r="CG82" s="128"/>
      <c r="CH82" s="8">
        <v>39</v>
      </c>
      <c r="CI82" s="6">
        <v>43364</v>
      </c>
      <c r="CJ82" s="18"/>
      <c r="CK82" s="39"/>
      <c r="CL82" s="40"/>
      <c r="CM82" s="21"/>
      <c r="CN82" s="41"/>
      <c r="CO82" s="42"/>
      <c r="CP82" s="23"/>
      <c r="CQ82" s="39"/>
      <c r="CR82" s="46"/>
      <c r="CS82" s="24"/>
      <c r="CT82" s="39"/>
      <c r="CU82" s="46"/>
      <c r="CV82" s="29"/>
      <c r="CW82" s="9"/>
      <c r="CX82" s="7"/>
      <c r="CY82" s="9"/>
      <c r="CZ82" s="127">
        <f t="shared" si="39"/>
        <v>0.75</v>
      </c>
      <c r="DA82" s="127">
        <f t="shared" si="40"/>
        <v>0.75</v>
      </c>
      <c r="DB82" s="127" t="e">
        <f t="shared" si="41"/>
        <v>#DIV/0!</v>
      </c>
      <c r="DC82" s="127"/>
      <c r="DD82" s="127" t="e">
        <f t="shared" si="51"/>
        <v>#DIV/0!</v>
      </c>
      <c r="DE82" s="9">
        <f t="shared" si="52"/>
        <v>0</v>
      </c>
      <c r="DF82" s="127" t="e">
        <f t="shared" si="53"/>
        <v>#DIV/0!</v>
      </c>
      <c r="DG82" s="9">
        <f t="shared" si="54"/>
        <v>0</v>
      </c>
      <c r="DH82" s="129" t="e">
        <f t="shared" si="46"/>
        <v>#DIV/0!</v>
      </c>
      <c r="DI82" s="129"/>
      <c r="DJ82" s="129" t="e">
        <f t="shared" si="47"/>
        <v>#DIV/0!</v>
      </c>
      <c r="DK82" s="9"/>
      <c r="DL82" s="7"/>
      <c r="DM82" s="9"/>
      <c r="DN82" s="7"/>
      <c r="DO82" s="9">
        <f t="shared" si="48"/>
        <v>12</v>
      </c>
      <c r="DP82" s="114">
        <f t="shared" si="49"/>
        <v>12</v>
      </c>
      <c r="DQ82" s="114">
        <f t="shared" si="50"/>
        <v>0</v>
      </c>
      <c r="DR82" s="131">
        <v>1</v>
      </c>
      <c r="DS82" s="145"/>
      <c r="DT82" s="145"/>
      <c r="DU82" s="145"/>
      <c r="DV82" s="145"/>
      <c r="DW82" s="145"/>
      <c r="DX82" s="145"/>
      <c r="DY82" s="145"/>
      <c r="DZ82" s="145"/>
      <c r="EA82" s="145"/>
      <c r="EB82" s="145"/>
      <c r="EC82" s="145"/>
      <c r="ED82" s="145"/>
      <c r="EE82" s="145"/>
      <c r="EF82" s="136"/>
    </row>
    <row r="83" spans="1:136">
      <c r="A83" s="112">
        <v>2223</v>
      </c>
      <c r="B83" s="153" t="s">
        <v>65</v>
      </c>
      <c r="C83" s="146">
        <v>2709083</v>
      </c>
      <c r="D83" s="112" t="s">
        <v>397</v>
      </c>
      <c r="E83" s="111">
        <v>168</v>
      </c>
      <c r="F83" s="112" t="s">
        <v>313</v>
      </c>
      <c r="G83" s="112"/>
      <c r="H83" s="112" t="s">
        <v>319</v>
      </c>
      <c r="I83" s="112"/>
      <c r="J83" s="113">
        <v>43194</v>
      </c>
      <c r="K83" s="114">
        <v>35</v>
      </c>
      <c r="L83" s="112">
        <v>1</v>
      </c>
      <c r="M83" s="113">
        <v>42826</v>
      </c>
      <c r="N83" s="112">
        <v>2</v>
      </c>
      <c r="O83" s="137">
        <v>43224</v>
      </c>
      <c r="P83" s="5">
        <v>43250</v>
      </c>
      <c r="Q83" s="179"/>
      <c r="R83" s="112"/>
      <c r="S83" s="112"/>
      <c r="T83" s="112"/>
      <c r="U83" s="112"/>
      <c r="V83" s="112"/>
      <c r="W83" s="112"/>
      <c r="X83" s="112"/>
      <c r="Y83" s="140" t="s">
        <v>398</v>
      </c>
      <c r="Z83" s="140" t="s">
        <v>159</v>
      </c>
      <c r="AA83" s="7"/>
      <c r="AB83" s="7"/>
      <c r="AC83" s="7"/>
      <c r="AD83" s="7"/>
      <c r="AE83" s="7"/>
      <c r="AF83" s="7"/>
      <c r="AG83" s="7"/>
      <c r="AH83" s="121">
        <v>1</v>
      </c>
      <c r="AI83" s="124"/>
      <c r="AJ83" s="124"/>
      <c r="AK83" s="121"/>
      <c r="AL83" s="121"/>
      <c r="AM83" s="121"/>
      <c r="AN83" s="121"/>
      <c r="AO83" s="121"/>
      <c r="AP83" s="121"/>
      <c r="AQ83" s="125">
        <v>915.69999999999993</v>
      </c>
      <c r="AR83" s="125">
        <v>1225.9000000000001</v>
      </c>
      <c r="AS83" s="126"/>
      <c r="AT83" s="126"/>
      <c r="AU83" s="127"/>
      <c r="AV83" s="127"/>
      <c r="AW83" s="127"/>
      <c r="AX83" s="127"/>
      <c r="AY83" s="127"/>
      <c r="AZ83" s="125">
        <v>1.7</v>
      </c>
      <c r="BA83" s="125">
        <v>2.21</v>
      </c>
      <c r="BB83" s="127"/>
      <c r="BC83" s="127"/>
      <c r="BD83" s="127"/>
      <c r="BE83" s="127"/>
      <c r="BF83" s="127"/>
      <c r="BG83" s="127"/>
      <c r="BH83" s="127"/>
      <c r="BI83" s="125">
        <v>32.15</v>
      </c>
      <c r="BJ83" s="125">
        <v>32.14</v>
      </c>
      <c r="BK83" s="127"/>
      <c r="BL83" s="127"/>
      <c r="BM83" s="127"/>
      <c r="BN83" s="127"/>
      <c r="BO83" s="127"/>
      <c r="BP83" s="127"/>
      <c r="BQ83" s="127"/>
      <c r="BR83" s="125">
        <v>2882.34</v>
      </c>
      <c r="BS83" s="125">
        <v>932.1</v>
      </c>
      <c r="BT83" s="127"/>
      <c r="BU83" s="127"/>
      <c r="BV83" s="127"/>
      <c r="BW83" s="127"/>
      <c r="BX83" s="127"/>
      <c r="BY83" s="127"/>
      <c r="BZ83" s="127"/>
      <c r="CA83" s="9">
        <v>35</v>
      </c>
      <c r="CB83" s="7">
        <v>43194</v>
      </c>
      <c r="CC83" s="9">
        <f t="shared" si="37"/>
        <v>-1</v>
      </c>
      <c r="CD83" s="9">
        <v>33</v>
      </c>
      <c r="CE83" s="137">
        <v>43224</v>
      </c>
      <c r="CF83" s="128"/>
      <c r="CG83" s="128"/>
      <c r="CH83" s="39">
        <v>33</v>
      </c>
      <c r="CI83" s="40">
        <v>43224</v>
      </c>
      <c r="CJ83" s="18">
        <v>0</v>
      </c>
      <c r="CK83" s="39"/>
      <c r="CL83" s="40"/>
      <c r="CM83" s="63"/>
      <c r="CN83" s="41"/>
      <c r="CO83" s="42"/>
      <c r="CP83" s="23"/>
      <c r="CQ83" s="39"/>
      <c r="CR83" s="46"/>
      <c r="CS83" s="24"/>
      <c r="CT83" s="39"/>
      <c r="CU83" s="46"/>
      <c r="CV83" s="29"/>
      <c r="CW83" s="9"/>
      <c r="CX83" s="7"/>
      <c r="CY83" s="9"/>
      <c r="CZ83" s="127">
        <f t="shared" si="39"/>
        <v>1.1538461538461537</v>
      </c>
      <c r="DA83" s="127">
        <f t="shared" si="40"/>
        <v>1.1538461538461537</v>
      </c>
      <c r="DB83" s="127">
        <f t="shared" si="41"/>
        <v>2</v>
      </c>
      <c r="DC83" s="127"/>
      <c r="DD83" s="127" t="e">
        <f t="shared" si="51"/>
        <v>#DIV/0!</v>
      </c>
      <c r="DE83" s="9">
        <f t="shared" si="52"/>
        <v>0</v>
      </c>
      <c r="DF83" s="127">
        <f t="shared" si="53"/>
        <v>2</v>
      </c>
      <c r="DG83" s="9">
        <f t="shared" si="54"/>
        <v>1</v>
      </c>
      <c r="DH83" s="129" t="e">
        <f t="shared" si="46"/>
        <v>#DIV/0!</v>
      </c>
      <c r="DI83" s="129"/>
      <c r="DJ83" s="129">
        <f t="shared" si="47"/>
        <v>0.84615384615384626</v>
      </c>
      <c r="DK83" s="9"/>
      <c r="DL83" s="7"/>
      <c r="DM83" s="9"/>
      <c r="DN83" s="7"/>
      <c r="DO83" s="9">
        <f t="shared" si="48"/>
        <v>12</v>
      </c>
      <c r="DP83" s="114">
        <f t="shared" si="49"/>
        <v>13</v>
      </c>
      <c r="DQ83" s="114">
        <f t="shared" si="50"/>
        <v>1</v>
      </c>
      <c r="DR83" s="131">
        <v>1</v>
      </c>
      <c r="DS83" s="145"/>
      <c r="DT83" s="145"/>
      <c r="DU83" s="145"/>
      <c r="DV83" s="145"/>
      <c r="DW83" s="145"/>
      <c r="DX83" s="145"/>
      <c r="DY83" s="145"/>
      <c r="DZ83" s="145"/>
      <c r="EA83" s="145"/>
      <c r="EB83" s="145"/>
      <c r="EC83" s="145"/>
      <c r="ED83" s="145"/>
      <c r="EE83" s="145"/>
      <c r="EF83" s="136"/>
    </row>
    <row r="84" spans="1:136">
      <c r="A84" s="112">
        <v>2190</v>
      </c>
      <c r="B84" s="153" t="s">
        <v>66</v>
      </c>
      <c r="C84" s="146">
        <v>2705348</v>
      </c>
      <c r="D84" s="112" t="s">
        <v>399</v>
      </c>
      <c r="E84" s="111">
        <v>162</v>
      </c>
      <c r="F84" s="112" t="s">
        <v>313</v>
      </c>
      <c r="G84" s="112"/>
      <c r="H84" s="112" t="s">
        <v>319</v>
      </c>
      <c r="I84" s="112"/>
      <c r="J84" s="113">
        <v>43161</v>
      </c>
      <c r="K84" s="114">
        <v>38</v>
      </c>
      <c r="L84" s="112">
        <v>0</v>
      </c>
      <c r="M84" s="113">
        <v>42948</v>
      </c>
      <c r="N84" s="112">
        <v>2</v>
      </c>
      <c r="O84" s="137">
        <v>43189</v>
      </c>
      <c r="P84" s="5">
        <v>43215</v>
      </c>
      <c r="Q84" s="179"/>
      <c r="R84" s="112"/>
      <c r="S84" s="112"/>
      <c r="T84" s="112"/>
      <c r="U84" s="112"/>
      <c r="V84" s="112"/>
      <c r="W84" s="112"/>
      <c r="X84" s="112"/>
      <c r="Y84" s="140" t="s">
        <v>160</v>
      </c>
      <c r="Z84" s="140" t="s">
        <v>161</v>
      </c>
      <c r="AA84" s="7"/>
      <c r="AB84" s="7"/>
      <c r="AC84" s="7"/>
      <c r="AD84" s="7"/>
      <c r="AE84" s="7"/>
      <c r="AF84" s="7"/>
      <c r="AG84" s="7"/>
      <c r="AH84" s="121">
        <v>1</v>
      </c>
      <c r="AI84" s="124"/>
      <c r="AJ84" s="121"/>
      <c r="AK84" s="121"/>
      <c r="AL84" s="121"/>
      <c r="AM84" s="121"/>
      <c r="AN84" s="121"/>
      <c r="AO84" s="121"/>
      <c r="AP84" s="121"/>
      <c r="AQ84" s="125">
        <v>1278.7</v>
      </c>
      <c r="AR84" s="125">
        <v>1722.5</v>
      </c>
      <c r="AS84" s="126"/>
      <c r="AT84" s="126"/>
      <c r="AU84" s="127"/>
      <c r="AV84" s="127"/>
      <c r="AW84" s="127"/>
      <c r="AX84" s="127"/>
      <c r="AY84" s="127"/>
      <c r="AZ84" s="125">
        <v>2.46</v>
      </c>
      <c r="BA84" s="125">
        <v>3.75</v>
      </c>
      <c r="BB84" s="127"/>
      <c r="BC84" s="127"/>
      <c r="BD84" s="127"/>
      <c r="BE84" s="127"/>
      <c r="BF84" s="127"/>
      <c r="BG84" s="127"/>
      <c r="BH84" s="127"/>
      <c r="BI84" s="125">
        <v>32.06</v>
      </c>
      <c r="BJ84" s="125">
        <v>50.15</v>
      </c>
      <c r="BK84" s="127"/>
      <c r="BL84" s="127"/>
      <c r="BM84" s="127"/>
      <c r="BN84" s="127"/>
      <c r="BO84" s="127"/>
      <c r="BP84" s="127"/>
      <c r="BQ84" s="127"/>
      <c r="BR84" s="125">
        <v>1017.73</v>
      </c>
      <c r="BS84" s="125">
        <v>642.55999999999995</v>
      </c>
      <c r="BT84" s="127"/>
      <c r="BU84" s="127"/>
      <c r="BV84" s="127"/>
      <c r="BW84" s="127"/>
      <c r="BX84" s="127"/>
      <c r="BY84" s="127"/>
      <c r="BZ84" s="127"/>
      <c r="CA84" s="9">
        <v>38</v>
      </c>
      <c r="CB84" s="7">
        <v>43161</v>
      </c>
      <c r="CC84" s="9">
        <f t="shared" si="37"/>
        <v>-1</v>
      </c>
      <c r="CD84" s="9">
        <v>37</v>
      </c>
      <c r="CE84" s="137">
        <v>43189</v>
      </c>
      <c r="CF84" s="128"/>
      <c r="CG84" s="128"/>
      <c r="CH84" s="39">
        <v>37</v>
      </c>
      <c r="CI84" s="40">
        <v>43189</v>
      </c>
      <c r="CJ84" s="18">
        <v>0</v>
      </c>
      <c r="CK84" s="39"/>
      <c r="CL84" s="40"/>
      <c r="CM84" s="63"/>
      <c r="CN84" s="41"/>
      <c r="CO84" s="42"/>
      <c r="CP84" s="23"/>
      <c r="CQ84" s="39"/>
      <c r="CR84" s="46"/>
      <c r="CS84" s="24"/>
      <c r="CT84" s="39"/>
      <c r="CU84" s="46"/>
      <c r="CV84" s="29"/>
      <c r="CW84" s="9"/>
      <c r="CX84" s="7"/>
      <c r="CY84" s="9"/>
      <c r="CZ84" s="127">
        <f t="shared" si="39"/>
        <v>1.375</v>
      </c>
      <c r="DA84" s="127">
        <f t="shared" si="40"/>
        <v>1.375</v>
      </c>
      <c r="DB84" s="127">
        <f t="shared" si="41"/>
        <v>1</v>
      </c>
      <c r="DC84" s="127"/>
      <c r="DD84" s="127" t="e">
        <f t="shared" si="51"/>
        <v>#DIV/0!</v>
      </c>
      <c r="DE84" s="9">
        <f t="shared" si="52"/>
        <v>0</v>
      </c>
      <c r="DF84" s="127">
        <f t="shared" si="53"/>
        <v>1</v>
      </c>
      <c r="DG84" s="9">
        <f t="shared" si="54"/>
        <v>1</v>
      </c>
      <c r="DH84" s="129" t="e">
        <f t="shared" si="46"/>
        <v>#DIV/0!</v>
      </c>
      <c r="DI84" s="129"/>
      <c r="DJ84" s="129">
        <f t="shared" si="47"/>
        <v>-0.375</v>
      </c>
      <c r="DK84" s="9"/>
      <c r="DL84" s="7"/>
      <c r="DM84" s="9"/>
      <c r="DN84" s="7"/>
      <c r="DO84" s="9">
        <f t="shared" si="48"/>
        <v>7</v>
      </c>
      <c r="DP84" s="114">
        <f t="shared" si="49"/>
        <v>8</v>
      </c>
      <c r="DQ84" s="114">
        <f t="shared" si="50"/>
        <v>1</v>
      </c>
      <c r="DR84" s="131">
        <v>1</v>
      </c>
      <c r="DS84" s="145"/>
      <c r="DT84" s="145"/>
      <c r="DU84" s="145"/>
      <c r="DV84" s="145"/>
      <c r="DW84" s="145"/>
      <c r="DX84" s="145"/>
      <c r="DY84" s="145"/>
      <c r="DZ84" s="145"/>
      <c r="EA84" s="145"/>
      <c r="EB84" s="145"/>
      <c r="EC84" s="145"/>
      <c r="ED84" s="145"/>
      <c r="EE84" s="145"/>
      <c r="EF84" s="156"/>
    </row>
    <row r="85" spans="1:136">
      <c r="A85" s="112">
        <v>2180</v>
      </c>
      <c r="B85" s="153" t="s">
        <v>67</v>
      </c>
      <c r="C85" s="146">
        <v>2703143</v>
      </c>
      <c r="D85" s="112" t="s">
        <v>400</v>
      </c>
      <c r="E85" s="111">
        <v>161</v>
      </c>
      <c r="F85" s="112" t="s">
        <v>313</v>
      </c>
      <c r="G85" s="112">
        <v>1</v>
      </c>
      <c r="H85" s="112" t="s">
        <v>319</v>
      </c>
      <c r="I85" s="112"/>
      <c r="J85" s="113">
        <v>43139</v>
      </c>
      <c r="K85" s="114">
        <v>29</v>
      </c>
      <c r="L85" s="112">
        <v>1</v>
      </c>
      <c r="M85" s="113">
        <v>42430</v>
      </c>
      <c r="N85" s="112">
        <v>2</v>
      </c>
      <c r="O85" s="137">
        <v>43168</v>
      </c>
      <c r="P85" s="5">
        <v>43194</v>
      </c>
      <c r="Q85" s="179"/>
      <c r="R85" s="112"/>
      <c r="S85" s="112"/>
      <c r="T85" s="112"/>
      <c r="U85" s="112"/>
      <c r="V85" s="112"/>
      <c r="W85" s="112"/>
      <c r="X85" s="112"/>
      <c r="Y85" s="140" t="s">
        <v>162</v>
      </c>
      <c r="Z85" s="140" t="s">
        <v>163</v>
      </c>
      <c r="AA85" s="7"/>
      <c r="AB85" s="7"/>
      <c r="AC85" s="7"/>
      <c r="AD85" s="7"/>
      <c r="AE85" s="7"/>
      <c r="AF85" s="7"/>
      <c r="AG85" s="7"/>
      <c r="AH85" s="121">
        <v>1</v>
      </c>
      <c r="AI85" s="124"/>
      <c r="AJ85" s="124"/>
      <c r="AK85" s="124"/>
      <c r="AL85" s="124"/>
      <c r="AM85" s="124"/>
      <c r="AN85" s="124"/>
      <c r="AO85" s="124"/>
      <c r="AP85" s="124"/>
      <c r="AQ85" s="125">
        <v>1001.3</v>
      </c>
      <c r="AR85" s="125">
        <v>1660.1</v>
      </c>
      <c r="AS85" s="126"/>
      <c r="AT85" s="126"/>
      <c r="AU85" s="127"/>
      <c r="AV85" s="127"/>
      <c r="AW85" s="127"/>
      <c r="AX85" s="127"/>
      <c r="AY85" s="127"/>
      <c r="AZ85" s="125">
        <v>2.79</v>
      </c>
      <c r="BA85" s="125">
        <v>2.92</v>
      </c>
      <c r="BB85" s="127"/>
      <c r="BC85" s="127"/>
      <c r="BD85" s="127"/>
      <c r="BE85" s="127"/>
      <c r="BF85" s="127"/>
      <c r="BG85" s="127"/>
      <c r="BH85" s="127"/>
      <c r="BI85" s="125">
        <v>41.93</v>
      </c>
      <c r="BJ85" s="125">
        <v>45.31</v>
      </c>
      <c r="BK85" s="127"/>
      <c r="BL85" s="127"/>
      <c r="BM85" s="127"/>
      <c r="BN85" s="127"/>
      <c r="BO85" s="127"/>
      <c r="BP85" s="127"/>
      <c r="BQ85" s="127"/>
      <c r="BR85" s="125">
        <v>938.67</v>
      </c>
      <c r="BS85" s="125">
        <v>776.49</v>
      </c>
      <c r="BT85" s="127"/>
      <c r="BU85" s="127"/>
      <c r="BV85" s="127"/>
      <c r="BW85" s="127"/>
      <c r="BX85" s="127"/>
      <c r="BY85" s="127"/>
      <c r="BZ85" s="127"/>
      <c r="CA85" s="9">
        <v>29</v>
      </c>
      <c r="CB85" s="7">
        <v>43139</v>
      </c>
      <c r="CC85" s="9">
        <f t="shared" si="37"/>
        <v>-1</v>
      </c>
      <c r="CD85" s="9">
        <v>30</v>
      </c>
      <c r="CE85" s="137">
        <v>43168</v>
      </c>
      <c r="CF85" s="128"/>
      <c r="CG85" s="128"/>
      <c r="CH85" s="39">
        <v>30</v>
      </c>
      <c r="CI85" s="40">
        <v>43168</v>
      </c>
      <c r="CJ85" s="18">
        <v>0</v>
      </c>
      <c r="CK85" s="59"/>
      <c r="CL85" s="69"/>
      <c r="CM85" s="63"/>
      <c r="CN85" s="41"/>
      <c r="CO85" s="42"/>
      <c r="CP85" s="23"/>
      <c r="CQ85" s="39"/>
      <c r="CR85" s="46"/>
      <c r="CS85" s="24"/>
      <c r="CT85" s="39"/>
      <c r="CU85" s="46"/>
      <c r="CV85" s="29"/>
      <c r="CW85" s="9"/>
      <c r="CX85" s="7"/>
      <c r="CY85" s="9"/>
      <c r="CZ85" s="127">
        <f t="shared" si="39"/>
        <v>0.75</v>
      </c>
      <c r="DA85" s="127">
        <f t="shared" si="40"/>
        <v>0.75</v>
      </c>
      <c r="DB85" s="127">
        <f t="shared" si="41"/>
        <v>-1</v>
      </c>
      <c r="DC85" s="127"/>
      <c r="DD85" s="127" t="e">
        <f t="shared" si="51"/>
        <v>#DIV/0!</v>
      </c>
      <c r="DE85" s="9">
        <f t="shared" si="52"/>
        <v>0</v>
      </c>
      <c r="DF85" s="127">
        <f t="shared" si="53"/>
        <v>0</v>
      </c>
      <c r="DG85" s="9">
        <f t="shared" si="54"/>
        <v>1</v>
      </c>
      <c r="DH85" s="129" t="e">
        <f t="shared" si="46"/>
        <v>#DIV/0!</v>
      </c>
      <c r="DI85" s="129"/>
      <c r="DJ85" s="129">
        <f t="shared" si="47"/>
        <v>-0.75</v>
      </c>
      <c r="DK85" s="9"/>
      <c r="DL85" s="7"/>
      <c r="DM85" s="9"/>
      <c r="DN85" s="7"/>
      <c r="DO85" s="9">
        <f t="shared" si="48"/>
        <v>23</v>
      </c>
      <c r="DP85" s="114">
        <f t="shared" si="49"/>
        <v>24</v>
      </c>
      <c r="DQ85" s="114">
        <f t="shared" si="50"/>
        <v>1</v>
      </c>
      <c r="DR85" s="131">
        <v>1</v>
      </c>
      <c r="DS85" s="145"/>
      <c r="DT85" s="145"/>
      <c r="DU85" s="145"/>
      <c r="DV85" s="145"/>
      <c r="DW85" s="145"/>
      <c r="DX85" s="145"/>
      <c r="DY85" s="145"/>
      <c r="DZ85" s="145"/>
      <c r="EA85" s="145"/>
      <c r="EB85" s="145"/>
      <c r="EC85" s="145"/>
      <c r="ED85" s="145"/>
      <c r="EE85" s="145"/>
      <c r="EF85" s="136"/>
    </row>
    <row r="86" spans="1:136">
      <c r="A86" s="112">
        <v>2167</v>
      </c>
      <c r="B86" s="153" t="s">
        <v>68</v>
      </c>
      <c r="C86" s="146">
        <v>2701699</v>
      </c>
      <c r="D86" s="112" t="s">
        <v>401</v>
      </c>
      <c r="E86" s="111">
        <v>158</v>
      </c>
      <c r="F86" s="112" t="s">
        <v>313</v>
      </c>
      <c r="G86" s="112">
        <v>1</v>
      </c>
      <c r="H86" s="112" t="s">
        <v>319</v>
      </c>
      <c r="I86" s="112"/>
      <c r="J86" s="113">
        <v>43125</v>
      </c>
      <c r="K86" s="114">
        <v>33</v>
      </c>
      <c r="L86" s="112">
        <v>0</v>
      </c>
      <c r="M86" s="113">
        <v>42583</v>
      </c>
      <c r="N86" s="112">
        <v>2</v>
      </c>
      <c r="O86" s="137">
        <v>43154</v>
      </c>
      <c r="P86" s="5">
        <v>43180</v>
      </c>
      <c r="Q86" s="179"/>
      <c r="R86" s="112"/>
      <c r="S86" s="112"/>
      <c r="T86" s="112"/>
      <c r="U86" s="112"/>
      <c r="V86" s="112"/>
      <c r="W86" s="112"/>
      <c r="X86" s="112"/>
      <c r="Y86" s="140" t="s">
        <v>164</v>
      </c>
      <c r="Z86" s="140" t="s">
        <v>165</v>
      </c>
      <c r="AA86" s="7"/>
      <c r="AB86" s="7"/>
      <c r="AC86" s="7"/>
      <c r="AD86" s="7"/>
      <c r="AE86" s="7"/>
      <c r="AF86" s="7"/>
      <c r="AG86" s="7"/>
      <c r="AH86" s="121">
        <v>1</v>
      </c>
      <c r="AI86" s="124"/>
      <c r="AJ86" s="124"/>
      <c r="AK86" s="121"/>
      <c r="AL86" s="121"/>
      <c r="AM86" s="121"/>
      <c r="AN86" s="121"/>
      <c r="AO86" s="121"/>
      <c r="AP86" s="121"/>
      <c r="AQ86" s="125">
        <v>1154.7</v>
      </c>
      <c r="AR86" s="125">
        <v>1243.0999999999999</v>
      </c>
      <c r="AS86" s="126"/>
      <c r="AT86" s="126"/>
      <c r="AU86" s="127"/>
      <c r="AV86" s="127"/>
      <c r="AW86" s="127"/>
      <c r="AX86" s="127"/>
      <c r="AY86" s="127"/>
      <c r="AZ86" s="125">
        <v>2.13</v>
      </c>
      <c r="BA86" s="125">
        <v>2.19</v>
      </c>
      <c r="BB86" s="127"/>
      <c r="BC86" s="127"/>
      <c r="BD86" s="127"/>
      <c r="BE86" s="127"/>
      <c r="BF86" s="127"/>
      <c r="BG86" s="127"/>
      <c r="BH86" s="127"/>
      <c r="BI86" s="125">
        <v>57.76</v>
      </c>
      <c r="BJ86" s="125">
        <v>34.89</v>
      </c>
      <c r="BK86" s="127"/>
      <c r="BL86" s="127"/>
      <c r="BM86" s="127"/>
      <c r="BN86" s="127"/>
      <c r="BO86" s="127"/>
      <c r="BP86" s="127"/>
      <c r="BQ86" s="127"/>
      <c r="BR86" s="125">
        <v>1075.9000000000001</v>
      </c>
      <c r="BS86" s="125">
        <v>1156.23</v>
      </c>
      <c r="BT86" s="127"/>
      <c r="BU86" s="127"/>
      <c r="BV86" s="127"/>
      <c r="BW86" s="127"/>
      <c r="BX86" s="127"/>
      <c r="BY86" s="127"/>
      <c r="BZ86" s="127"/>
      <c r="CA86" s="9">
        <v>33</v>
      </c>
      <c r="CB86" s="7">
        <v>43125</v>
      </c>
      <c r="CC86" s="9">
        <f t="shared" si="37"/>
        <v>-1</v>
      </c>
      <c r="CD86" s="9">
        <v>32</v>
      </c>
      <c r="CE86" s="137">
        <v>43154</v>
      </c>
      <c r="CF86" s="128"/>
      <c r="CG86" s="128"/>
      <c r="CH86" s="39">
        <v>32</v>
      </c>
      <c r="CI86" s="40">
        <v>43153</v>
      </c>
      <c r="CJ86" s="18">
        <v>0</v>
      </c>
      <c r="CK86" s="39"/>
      <c r="CL86" s="40"/>
      <c r="CM86" s="63"/>
      <c r="CN86" s="41"/>
      <c r="CO86" s="42"/>
      <c r="CP86" s="23"/>
      <c r="CQ86" s="39"/>
      <c r="CR86" s="46"/>
      <c r="CS86" s="24"/>
      <c r="CT86" s="39"/>
      <c r="CU86" s="46"/>
      <c r="CV86" s="29"/>
      <c r="CW86" s="9"/>
      <c r="CX86" s="7"/>
      <c r="CY86" s="9"/>
      <c r="CZ86" s="127">
        <f t="shared" si="39"/>
        <v>0.84210526315789469</v>
      </c>
      <c r="DA86" s="127">
        <f t="shared" si="40"/>
        <v>0.84210526315789469</v>
      </c>
      <c r="DB86" s="127">
        <f t="shared" si="41"/>
        <v>1</v>
      </c>
      <c r="DC86" s="127"/>
      <c r="DD86" s="127" t="e">
        <f t="shared" si="51"/>
        <v>#DIV/0!</v>
      </c>
      <c r="DE86" s="9">
        <f t="shared" si="52"/>
        <v>0</v>
      </c>
      <c r="DF86" s="127">
        <f t="shared" si="53"/>
        <v>1</v>
      </c>
      <c r="DG86" s="9">
        <f t="shared" si="54"/>
        <v>1</v>
      </c>
      <c r="DH86" s="129" t="e">
        <f t="shared" si="46"/>
        <v>#DIV/0!</v>
      </c>
      <c r="DI86" s="129"/>
      <c r="DJ86" s="129">
        <f t="shared" si="47"/>
        <v>0.15789473684210531</v>
      </c>
      <c r="DK86" s="9"/>
      <c r="DL86" s="7"/>
      <c r="DM86" s="9"/>
      <c r="DN86" s="7"/>
      <c r="DO86" s="9">
        <f t="shared" si="48"/>
        <v>18</v>
      </c>
      <c r="DP86" s="114">
        <f t="shared" si="49"/>
        <v>19</v>
      </c>
      <c r="DQ86" s="114">
        <f t="shared" si="50"/>
        <v>1</v>
      </c>
      <c r="DR86" s="131">
        <v>1</v>
      </c>
      <c r="DS86" s="145"/>
      <c r="DT86" s="145"/>
      <c r="DU86" s="145"/>
      <c r="DV86" s="145"/>
      <c r="DW86" s="145"/>
      <c r="DX86" s="145"/>
      <c r="DY86" s="145"/>
      <c r="DZ86" s="145"/>
      <c r="EA86" s="145"/>
      <c r="EB86" s="145"/>
      <c r="EC86" s="145"/>
      <c r="ED86" s="145"/>
      <c r="EE86" s="145"/>
      <c r="EF86" s="136"/>
    </row>
    <row r="87" spans="1:136">
      <c r="A87" s="112">
        <v>2130</v>
      </c>
      <c r="B87" s="153" t="s">
        <v>69</v>
      </c>
      <c r="C87" s="146">
        <v>2693669</v>
      </c>
      <c r="D87" s="115" t="s">
        <v>402</v>
      </c>
      <c r="E87" s="111">
        <v>153</v>
      </c>
      <c r="F87" s="112" t="s">
        <v>313</v>
      </c>
      <c r="G87" s="112"/>
      <c r="H87" s="112" t="s">
        <v>319</v>
      </c>
      <c r="I87" s="112"/>
      <c r="J87" s="113">
        <v>43063</v>
      </c>
      <c r="K87" s="114">
        <v>29</v>
      </c>
      <c r="L87" s="112">
        <v>0</v>
      </c>
      <c r="M87" s="113">
        <v>42552</v>
      </c>
      <c r="N87" s="112">
        <v>2</v>
      </c>
      <c r="O87" s="137">
        <v>43091</v>
      </c>
      <c r="P87" s="5">
        <v>43117</v>
      </c>
      <c r="Q87" s="179"/>
      <c r="R87" s="112"/>
      <c r="S87" s="112"/>
      <c r="T87" s="112"/>
      <c r="U87" s="112"/>
      <c r="V87" s="112"/>
      <c r="W87" s="112"/>
      <c r="X87" s="112"/>
      <c r="Y87" s="140" t="s">
        <v>166</v>
      </c>
      <c r="Z87" s="140" t="s">
        <v>167</v>
      </c>
      <c r="AA87" s="7"/>
      <c r="AB87" s="7"/>
      <c r="AC87" s="7"/>
      <c r="AD87" s="7"/>
      <c r="AE87" s="7"/>
      <c r="AF87" s="7"/>
      <c r="AG87" s="7"/>
      <c r="AH87" s="121">
        <v>1</v>
      </c>
      <c r="AI87" s="124"/>
      <c r="AJ87" s="121"/>
      <c r="AK87" s="121"/>
      <c r="AL87" s="121"/>
      <c r="AM87" s="121"/>
      <c r="AN87" s="121"/>
      <c r="AO87" s="121"/>
      <c r="AP87" s="121"/>
      <c r="AQ87" s="125">
        <v>1249.4000000000001</v>
      </c>
      <c r="AR87" s="125">
        <v>1872.4</v>
      </c>
      <c r="AS87" s="126"/>
      <c r="AT87" s="126"/>
      <c r="AU87" s="127"/>
      <c r="AV87" s="127"/>
      <c r="AW87" s="127"/>
      <c r="AX87" s="127"/>
      <c r="AY87" s="127"/>
      <c r="AZ87" s="125">
        <v>2.4700000000000002</v>
      </c>
      <c r="BA87" s="125">
        <v>10.59</v>
      </c>
      <c r="BB87" s="127"/>
      <c r="BC87" s="127"/>
      <c r="BD87" s="127"/>
      <c r="BE87" s="127"/>
      <c r="BF87" s="127"/>
      <c r="BG87" s="127"/>
      <c r="BH87" s="127"/>
      <c r="BI87" s="125">
        <v>48.96</v>
      </c>
      <c r="BJ87" s="125">
        <v>51.89</v>
      </c>
      <c r="BK87" s="127"/>
      <c r="BL87" s="127"/>
      <c r="BM87" s="127"/>
      <c r="BN87" s="127"/>
      <c r="BO87" s="127"/>
      <c r="BP87" s="127"/>
      <c r="BQ87" s="127"/>
      <c r="BR87" s="125">
        <v>1446.99</v>
      </c>
      <c r="BS87" s="125">
        <v>440.16</v>
      </c>
      <c r="BT87" s="127"/>
      <c r="BU87" s="127"/>
      <c r="BV87" s="127"/>
      <c r="BW87" s="127"/>
      <c r="BX87" s="127"/>
      <c r="BY87" s="127"/>
      <c r="BZ87" s="127"/>
      <c r="CA87" s="9">
        <v>29</v>
      </c>
      <c r="CB87" s="7">
        <v>43063</v>
      </c>
      <c r="CC87" s="9">
        <f t="shared" si="37"/>
        <v>-1</v>
      </c>
      <c r="CD87" s="9">
        <v>26</v>
      </c>
      <c r="CE87" s="137">
        <v>43091</v>
      </c>
      <c r="CF87" s="128"/>
      <c r="CG87" s="128"/>
      <c r="CH87" s="39">
        <v>26</v>
      </c>
      <c r="CI87" s="40">
        <v>43091</v>
      </c>
      <c r="CJ87" s="18">
        <v>0</v>
      </c>
      <c r="CK87" s="39"/>
      <c r="CL87" s="40"/>
      <c r="CM87" s="63"/>
      <c r="CN87" s="41"/>
      <c r="CO87" s="42"/>
      <c r="CP87" s="23"/>
      <c r="CQ87" s="39"/>
      <c r="CR87" s="46"/>
      <c r="CS87" s="24"/>
      <c r="CT87" s="39"/>
      <c r="CU87" s="46"/>
      <c r="CV87" s="29"/>
      <c r="CW87" s="9"/>
      <c r="CX87" s="7"/>
      <c r="CY87" s="9"/>
      <c r="CZ87" s="127">
        <f t="shared" si="39"/>
        <v>1.2222222222222223</v>
      </c>
      <c r="DA87" s="127">
        <f t="shared" si="40"/>
        <v>1.2222222222222223</v>
      </c>
      <c r="DB87" s="127">
        <f t="shared" si="41"/>
        <v>3</v>
      </c>
      <c r="DC87" s="127"/>
      <c r="DD87" s="127" t="e">
        <f t="shared" si="51"/>
        <v>#DIV/0!</v>
      </c>
      <c r="DE87" s="9">
        <f t="shared" si="52"/>
        <v>0</v>
      </c>
      <c r="DF87" s="127">
        <f t="shared" si="53"/>
        <v>3</v>
      </c>
      <c r="DG87" s="9">
        <f t="shared" si="54"/>
        <v>1</v>
      </c>
      <c r="DH87" s="129" t="e">
        <f t="shared" si="46"/>
        <v>#DIV/0!</v>
      </c>
      <c r="DI87" s="129"/>
      <c r="DJ87" s="129">
        <f t="shared" si="47"/>
        <v>1.7777777777777777</v>
      </c>
      <c r="DK87" s="9"/>
      <c r="DL87" s="7"/>
      <c r="DM87" s="9"/>
      <c r="DN87" s="7"/>
      <c r="DO87" s="9">
        <f t="shared" si="48"/>
        <v>17</v>
      </c>
      <c r="DP87" s="114">
        <f t="shared" si="49"/>
        <v>18</v>
      </c>
      <c r="DQ87" s="114">
        <f t="shared" si="50"/>
        <v>1</v>
      </c>
      <c r="DR87" s="131">
        <v>1</v>
      </c>
      <c r="DS87" s="145"/>
      <c r="DT87" s="145"/>
      <c r="DU87" s="145"/>
      <c r="DV87" s="145"/>
      <c r="DW87" s="145"/>
      <c r="DX87" s="145"/>
      <c r="DY87" s="145"/>
      <c r="DZ87" s="145"/>
      <c r="EA87" s="145"/>
      <c r="EB87" s="145"/>
      <c r="EC87" s="145"/>
      <c r="ED87" s="145"/>
      <c r="EE87" s="145"/>
      <c r="EF87" s="156"/>
    </row>
    <row r="88" spans="1:136">
      <c r="A88" s="112">
        <v>2082</v>
      </c>
      <c r="B88" s="153" t="s">
        <v>70</v>
      </c>
      <c r="C88" s="146">
        <v>2687267</v>
      </c>
      <c r="D88" s="112" t="s">
        <v>403</v>
      </c>
      <c r="E88" s="111">
        <v>146</v>
      </c>
      <c r="F88" s="112" t="s">
        <v>313</v>
      </c>
      <c r="G88" s="112">
        <v>1</v>
      </c>
      <c r="H88" s="112" t="s">
        <v>319</v>
      </c>
      <c r="I88" s="112"/>
      <c r="J88" s="113">
        <v>43006</v>
      </c>
      <c r="K88" s="114">
        <v>15</v>
      </c>
      <c r="L88" s="112">
        <v>0</v>
      </c>
      <c r="M88" s="113">
        <v>38047</v>
      </c>
      <c r="N88" s="112">
        <v>2</v>
      </c>
      <c r="O88" s="137">
        <v>43035</v>
      </c>
      <c r="P88" s="5">
        <v>43061</v>
      </c>
      <c r="Q88" s="179"/>
      <c r="R88" s="112"/>
      <c r="S88" s="112"/>
      <c r="T88" s="112"/>
      <c r="U88" s="112"/>
      <c r="V88" s="112"/>
      <c r="W88" s="112"/>
      <c r="X88" s="112"/>
      <c r="Y88" s="140" t="s">
        <v>168</v>
      </c>
      <c r="Z88" s="140" t="s">
        <v>169</v>
      </c>
      <c r="AA88" s="7"/>
      <c r="AB88" s="7"/>
      <c r="AC88" s="7"/>
      <c r="AD88" s="7"/>
      <c r="AE88" s="7"/>
      <c r="AF88" s="7"/>
      <c r="AG88" s="7"/>
      <c r="AH88" s="121">
        <v>1</v>
      </c>
      <c r="AI88" s="124"/>
      <c r="AJ88" s="121"/>
      <c r="AK88" s="124"/>
      <c r="AL88" s="124"/>
      <c r="AM88" s="124"/>
      <c r="AN88" s="124"/>
      <c r="AO88" s="124"/>
      <c r="AP88" s="124"/>
      <c r="AQ88" s="125">
        <v>1331.1000000000001</v>
      </c>
      <c r="AR88" s="125">
        <v>3471.1000000000004</v>
      </c>
      <c r="AS88" s="126"/>
      <c r="AT88" s="126"/>
      <c r="AU88" s="127"/>
      <c r="AV88" s="127"/>
      <c r="AW88" s="127"/>
      <c r="AX88" s="127"/>
      <c r="AY88" s="127"/>
      <c r="AZ88" s="125">
        <v>2.29</v>
      </c>
      <c r="BA88" s="125">
        <v>19.170000000000002</v>
      </c>
      <c r="BB88" s="127"/>
      <c r="BC88" s="127"/>
      <c r="BD88" s="127"/>
      <c r="BE88" s="127"/>
      <c r="BF88" s="127"/>
      <c r="BG88" s="127"/>
      <c r="BH88" s="127"/>
      <c r="BI88" s="125">
        <v>35.03</v>
      </c>
      <c r="BJ88" s="125">
        <v>59.06</v>
      </c>
      <c r="BK88" s="127"/>
      <c r="BL88" s="127"/>
      <c r="BM88" s="127"/>
      <c r="BN88" s="127"/>
      <c r="BO88" s="127"/>
      <c r="BP88" s="127"/>
      <c r="BQ88" s="127"/>
      <c r="BR88" s="125">
        <v>754.64</v>
      </c>
      <c r="BS88" s="125">
        <v>883.43</v>
      </c>
      <c r="BT88" s="127"/>
      <c r="BU88" s="127"/>
      <c r="BV88" s="127"/>
      <c r="BW88" s="127"/>
      <c r="BX88" s="127"/>
      <c r="BY88" s="127"/>
      <c r="BZ88" s="127"/>
      <c r="CA88" s="9">
        <v>15</v>
      </c>
      <c r="CB88" s="7">
        <v>43006</v>
      </c>
      <c r="CC88" s="9">
        <f t="shared" si="37"/>
        <v>-1</v>
      </c>
      <c r="CD88" s="9">
        <v>14</v>
      </c>
      <c r="CE88" s="137">
        <v>43035</v>
      </c>
      <c r="CF88" s="128"/>
      <c r="CG88" s="128"/>
      <c r="CH88" s="39">
        <v>14</v>
      </c>
      <c r="CI88" s="40">
        <v>43032</v>
      </c>
      <c r="CJ88" s="18">
        <v>0</v>
      </c>
      <c r="CK88" s="39"/>
      <c r="CL88" s="40"/>
      <c r="CM88" s="63"/>
      <c r="CN88" s="41"/>
      <c r="CO88" s="42"/>
      <c r="CP88" s="23"/>
      <c r="CQ88" s="39"/>
      <c r="CR88" s="46"/>
      <c r="CS88" s="24"/>
      <c r="CT88" s="39"/>
      <c r="CU88" s="46"/>
      <c r="CV88" s="29"/>
      <c r="CW88" s="9"/>
      <c r="CX88" s="7"/>
      <c r="CY88" s="9"/>
      <c r="CZ88" s="127">
        <f t="shared" si="39"/>
        <v>0.20858895705521471</v>
      </c>
      <c r="DA88" s="127">
        <f t="shared" si="40"/>
        <v>0.20858895705521471</v>
      </c>
      <c r="DB88" s="127">
        <f t="shared" si="41"/>
        <v>1</v>
      </c>
      <c r="DC88" s="127"/>
      <c r="DD88" s="127" t="e">
        <f t="shared" si="51"/>
        <v>#DIV/0!</v>
      </c>
      <c r="DE88" s="9">
        <f t="shared" si="52"/>
        <v>0</v>
      </c>
      <c r="DF88" s="127">
        <f t="shared" si="53"/>
        <v>1</v>
      </c>
      <c r="DG88" s="9">
        <f t="shared" si="54"/>
        <v>1</v>
      </c>
      <c r="DH88" s="129" t="e">
        <f t="shared" si="46"/>
        <v>#DIV/0!</v>
      </c>
      <c r="DI88" s="129"/>
      <c r="DJ88" s="129">
        <f t="shared" si="47"/>
        <v>0.79141104294478526</v>
      </c>
      <c r="DK88" s="9"/>
      <c r="DL88" s="7"/>
      <c r="DM88" s="9"/>
      <c r="DN88" s="7"/>
      <c r="DO88" s="9">
        <f t="shared" si="48"/>
        <v>163</v>
      </c>
      <c r="DP88" s="114">
        <f t="shared" si="49"/>
        <v>163</v>
      </c>
      <c r="DQ88" s="114">
        <f t="shared" si="50"/>
        <v>1</v>
      </c>
      <c r="DR88" s="131">
        <v>1</v>
      </c>
      <c r="DS88" s="145"/>
      <c r="DT88" s="145"/>
      <c r="DU88" s="145"/>
      <c r="DV88" s="145"/>
      <c r="DW88" s="145"/>
      <c r="DX88" s="145"/>
      <c r="DY88" s="145"/>
      <c r="DZ88" s="145"/>
      <c r="EA88" s="145"/>
      <c r="EB88" s="145"/>
      <c r="EC88" s="145"/>
      <c r="ED88" s="145"/>
      <c r="EE88" s="145"/>
      <c r="EF88" s="136"/>
    </row>
    <row r="89" spans="1:136">
      <c r="A89" s="112">
        <v>2089</v>
      </c>
      <c r="B89" s="153" t="s">
        <v>71</v>
      </c>
      <c r="C89" s="146">
        <v>2688442</v>
      </c>
      <c r="D89" s="112" t="s">
        <v>404</v>
      </c>
      <c r="E89" s="111">
        <v>147</v>
      </c>
      <c r="F89" s="112" t="s">
        <v>313</v>
      </c>
      <c r="G89" s="112">
        <v>1</v>
      </c>
      <c r="H89" s="112" t="s">
        <v>319</v>
      </c>
      <c r="I89" s="112"/>
      <c r="J89" s="113">
        <v>43019</v>
      </c>
      <c r="K89" s="114">
        <v>43</v>
      </c>
      <c r="L89" s="112">
        <v>0</v>
      </c>
      <c r="M89" s="113">
        <v>42339</v>
      </c>
      <c r="N89" s="112">
        <v>2</v>
      </c>
      <c r="O89" s="137">
        <v>43047</v>
      </c>
      <c r="P89" s="5">
        <v>43073</v>
      </c>
      <c r="Q89" s="179"/>
      <c r="R89" s="112"/>
      <c r="S89" s="112"/>
      <c r="T89" s="112"/>
      <c r="U89" s="112"/>
      <c r="V89" s="112"/>
      <c r="W89" s="112"/>
      <c r="X89" s="112"/>
      <c r="Y89" s="140" t="s">
        <v>170</v>
      </c>
      <c r="Z89" s="140" t="s">
        <v>171</v>
      </c>
      <c r="AA89" s="7"/>
      <c r="AB89" s="7"/>
      <c r="AC89" s="7"/>
      <c r="AD89" s="7"/>
      <c r="AE89" s="7"/>
      <c r="AF89" s="7"/>
      <c r="AG89" s="7"/>
      <c r="AH89" s="121">
        <v>1</v>
      </c>
      <c r="AI89" s="124"/>
      <c r="AJ89" s="124"/>
      <c r="AK89" s="121"/>
      <c r="AL89" s="121"/>
      <c r="AM89" s="121"/>
      <c r="AN89" s="121"/>
      <c r="AO89" s="121"/>
      <c r="AP89" s="121"/>
      <c r="AQ89" s="125">
        <v>1337.8999999999999</v>
      </c>
      <c r="AR89" s="125">
        <v>2658.8999999999996</v>
      </c>
      <c r="AS89" s="126"/>
      <c r="AT89" s="126"/>
      <c r="AU89" s="127"/>
      <c r="AV89" s="127"/>
      <c r="AW89" s="127"/>
      <c r="AX89" s="127"/>
      <c r="AY89" s="127"/>
      <c r="AZ89" s="125">
        <v>5.0199999999999996</v>
      </c>
      <c r="BA89" s="125">
        <v>8.1999999999999993</v>
      </c>
      <c r="BB89" s="127"/>
      <c r="BC89" s="127"/>
      <c r="BD89" s="127"/>
      <c r="BE89" s="127"/>
      <c r="BF89" s="127"/>
      <c r="BG89" s="127"/>
      <c r="BH89" s="127"/>
      <c r="BI89" s="125">
        <v>49.22</v>
      </c>
      <c r="BJ89" s="125">
        <v>71.84</v>
      </c>
      <c r="BK89" s="127"/>
      <c r="BL89" s="127"/>
      <c r="BM89" s="127"/>
      <c r="BN89" s="127"/>
      <c r="BO89" s="127"/>
      <c r="BP89" s="127"/>
      <c r="BQ89" s="127"/>
      <c r="BR89" s="125">
        <v>1263.9000000000001</v>
      </c>
      <c r="BS89" s="125">
        <v>872.56</v>
      </c>
      <c r="BT89" s="127"/>
      <c r="BU89" s="127"/>
      <c r="BV89" s="127"/>
      <c r="BW89" s="127"/>
      <c r="BX89" s="127"/>
      <c r="BY89" s="127"/>
      <c r="BZ89" s="127"/>
      <c r="CA89" s="9">
        <v>43</v>
      </c>
      <c r="CB89" s="7">
        <v>43019</v>
      </c>
      <c r="CC89" s="9">
        <f t="shared" si="37"/>
        <v>-1</v>
      </c>
      <c r="CD89" s="9">
        <v>38</v>
      </c>
      <c r="CE89" s="137">
        <v>43047</v>
      </c>
      <c r="CF89" s="128"/>
      <c r="CG89" s="128"/>
      <c r="CH89" s="39">
        <v>38</v>
      </c>
      <c r="CI89" s="40">
        <v>43047</v>
      </c>
      <c r="CJ89" s="18">
        <v>0</v>
      </c>
      <c r="CK89" s="39"/>
      <c r="CL89" s="40"/>
      <c r="CM89" s="63"/>
      <c r="CN89" s="41"/>
      <c r="CO89" s="42"/>
      <c r="CP89" s="23"/>
      <c r="CQ89" s="39"/>
      <c r="CR89" s="46"/>
      <c r="CS89" s="24"/>
      <c r="CT89" s="39"/>
      <c r="CU89" s="46"/>
      <c r="CV89" s="29"/>
      <c r="CW89" s="9"/>
      <c r="CX89" s="7"/>
      <c r="CY89" s="9"/>
      <c r="CZ89" s="127">
        <f t="shared" si="39"/>
        <v>0.43478260869565216</v>
      </c>
      <c r="DA89" s="127">
        <f t="shared" si="40"/>
        <v>0.43478260869565216</v>
      </c>
      <c r="DB89" s="127">
        <f t="shared" si="41"/>
        <v>5</v>
      </c>
      <c r="DC89" s="127"/>
      <c r="DD89" s="127" t="e">
        <f t="shared" si="51"/>
        <v>#DIV/0!</v>
      </c>
      <c r="DE89" s="9">
        <f t="shared" si="52"/>
        <v>0</v>
      </c>
      <c r="DF89" s="127">
        <f t="shared" si="53"/>
        <v>5</v>
      </c>
      <c r="DG89" s="9">
        <f t="shared" si="54"/>
        <v>1</v>
      </c>
      <c r="DH89" s="129" t="e">
        <f t="shared" si="46"/>
        <v>#DIV/0!</v>
      </c>
      <c r="DI89" s="129"/>
      <c r="DJ89" s="129">
        <f t="shared" si="47"/>
        <v>4.5652173913043477</v>
      </c>
      <c r="DK89" s="9"/>
      <c r="DL89" s="7"/>
      <c r="DM89" s="9"/>
      <c r="DN89" s="7"/>
      <c r="DO89" s="9">
        <f t="shared" si="48"/>
        <v>22</v>
      </c>
      <c r="DP89" s="114">
        <f t="shared" si="49"/>
        <v>23</v>
      </c>
      <c r="DQ89" s="114">
        <f t="shared" si="50"/>
        <v>1</v>
      </c>
      <c r="DR89" s="131">
        <v>1</v>
      </c>
      <c r="DS89" s="145"/>
      <c r="DT89" s="145"/>
      <c r="DU89" s="145"/>
      <c r="DV89" s="145"/>
      <c r="DW89" s="145"/>
      <c r="DX89" s="145"/>
      <c r="DY89" s="145"/>
      <c r="DZ89" s="145"/>
      <c r="EA89" s="145"/>
      <c r="EB89" s="145"/>
      <c r="EC89" s="145"/>
      <c r="ED89" s="145"/>
      <c r="EE89" s="145"/>
      <c r="EF89" s="136"/>
    </row>
    <row r="90" spans="1:136">
      <c r="A90" s="112">
        <v>2063</v>
      </c>
      <c r="B90" s="153" t="s">
        <v>72</v>
      </c>
      <c r="C90" s="146">
        <v>2683878</v>
      </c>
      <c r="D90" s="115" t="s">
        <v>405</v>
      </c>
      <c r="E90" s="111">
        <v>142</v>
      </c>
      <c r="F90" s="112" t="s">
        <v>313</v>
      </c>
      <c r="G90" s="112">
        <v>1</v>
      </c>
      <c r="H90" s="112" t="s">
        <v>319</v>
      </c>
      <c r="I90" s="112"/>
      <c r="J90" s="113">
        <v>42978</v>
      </c>
      <c r="K90" s="114">
        <v>28</v>
      </c>
      <c r="L90" s="112">
        <v>0</v>
      </c>
      <c r="M90" s="113">
        <v>42125</v>
      </c>
      <c r="N90" s="112">
        <v>2</v>
      </c>
      <c r="O90" s="137">
        <v>43007</v>
      </c>
      <c r="P90" s="5">
        <v>43033</v>
      </c>
      <c r="Q90" s="179"/>
      <c r="R90" s="112"/>
      <c r="S90" s="112"/>
      <c r="T90" s="112"/>
      <c r="U90" s="112"/>
      <c r="V90" s="112"/>
      <c r="W90" s="112"/>
      <c r="X90" s="112"/>
      <c r="Y90" s="140" t="s">
        <v>172</v>
      </c>
      <c r="Z90" s="140" t="s">
        <v>173</v>
      </c>
      <c r="AA90" s="6"/>
      <c r="AB90" s="7"/>
      <c r="AC90" s="7"/>
      <c r="AD90" s="7"/>
      <c r="AE90" s="7"/>
      <c r="AF90" s="7"/>
      <c r="AG90" s="7"/>
      <c r="AH90" s="121">
        <v>1</v>
      </c>
      <c r="AI90" s="124"/>
      <c r="AJ90" s="124"/>
      <c r="AK90" s="121"/>
      <c r="AL90" s="121"/>
      <c r="AM90" s="121"/>
      <c r="AN90" s="121"/>
      <c r="AO90" s="121"/>
      <c r="AP90" s="121"/>
      <c r="AQ90" s="125">
        <v>1575.6999999999998</v>
      </c>
      <c r="AR90" s="125">
        <v>2061.8000000000002</v>
      </c>
      <c r="AS90" s="126"/>
      <c r="AT90" s="126"/>
      <c r="AU90" s="127"/>
      <c r="AV90" s="127"/>
      <c r="AW90" s="127"/>
      <c r="AX90" s="127"/>
      <c r="AY90" s="127"/>
      <c r="AZ90" s="125">
        <v>3.24</v>
      </c>
      <c r="BA90" s="125">
        <v>4.07</v>
      </c>
      <c r="BB90" s="127"/>
      <c r="BC90" s="127"/>
      <c r="BD90" s="127"/>
      <c r="BE90" s="127"/>
      <c r="BF90" s="127"/>
      <c r="BG90" s="127"/>
      <c r="BH90" s="127"/>
      <c r="BI90" s="125">
        <v>43.5</v>
      </c>
      <c r="BJ90" s="125">
        <v>53.15</v>
      </c>
      <c r="BK90" s="127"/>
      <c r="BL90" s="127"/>
      <c r="BM90" s="127"/>
      <c r="BN90" s="127"/>
      <c r="BO90" s="127"/>
      <c r="BP90" s="127"/>
      <c r="BQ90" s="127"/>
      <c r="BR90" s="125">
        <v>1245.95</v>
      </c>
      <c r="BS90" s="125">
        <v>919.36</v>
      </c>
      <c r="BT90" s="127"/>
      <c r="BU90" s="127"/>
      <c r="BV90" s="127"/>
      <c r="BW90" s="127"/>
      <c r="BX90" s="127"/>
      <c r="BY90" s="127"/>
      <c r="BZ90" s="127"/>
      <c r="CA90" s="9">
        <v>28</v>
      </c>
      <c r="CB90" s="7">
        <v>42978</v>
      </c>
      <c r="CC90" s="9">
        <f t="shared" si="37"/>
        <v>-1</v>
      </c>
      <c r="CD90" s="9">
        <v>26</v>
      </c>
      <c r="CE90" s="137">
        <v>43007</v>
      </c>
      <c r="CF90" s="128"/>
      <c r="CG90" s="128"/>
      <c r="CH90" s="39">
        <v>26</v>
      </c>
      <c r="CI90" s="40">
        <v>43007</v>
      </c>
      <c r="CJ90" s="18">
        <v>0</v>
      </c>
      <c r="CK90" s="39"/>
      <c r="CL90" s="40"/>
      <c r="CM90" s="63"/>
      <c r="CN90" s="41"/>
      <c r="CO90" s="42"/>
      <c r="CP90" s="23"/>
      <c r="CQ90" s="39"/>
      <c r="CR90" s="46"/>
      <c r="CS90" s="24"/>
      <c r="CT90" s="39"/>
      <c r="CU90" s="46"/>
      <c r="CV90" s="29"/>
      <c r="CW90" s="9"/>
      <c r="CX90" s="7"/>
      <c r="CY90" s="9"/>
      <c r="CZ90" s="127">
        <f t="shared" si="39"/>
        <v>0.75862068965517238</v>
      </c>
      <c r="DA90" s="127">
        <f t="shared" si="40"/>
        <v>0.75862068965517238</v>
      </c>
      <c r="DB90" s="127">
        <f t="shared" si="41"/>
        <v>2</v>
      </c>
      <c r="DC90" s="127"/>
      <c r="DD90" s="127" t="e">
        <f t="shared" si="51"/>
        <v>#DIV/0!</v>
      </c>
      <c r="DE90" s="9">
        <f t="shared" si="52"/>
        <v>0</v>
      </c>
      <c r="DF90" s="127">
        <f t="shared" si="53"/>
        <v>2</v>
      </c>
      <c r="DG90" s="9">
        <f t="shared" si="54"/>
        <v>1</v>
      </c>
      <c r="DH90" s="129" t="e">
        <f t="shared" si="46"/>
        <v>#DIV/0!</v>
      </c>
      <c r="DI90" s="129"/>
      <c r="DJ90" s="129">
        <f t="shared" si="47"/>
        <v>1.2413793103448276</v>
      </c>
      <c r="DK90" s="9"/>
      <c r="DL90" s="7"/>
      <c r="DM90" s="9"/>
      <c r="DN90" s="7"/>
      <c r="DO90" s="9">
        <f t="shared" si="48"/>
        <v>28</v>
      </c>
      <c r="DP90" s="114">
        <f t="shared" si="49"/>
        <v>29</v>
      </c>
      <c r="DQ90" s="114">
        <f t="shared" si="50"/>
        <v>1</v>
      </c>
      <c r="DR90" s="131">
        <v>1</v>
      </c>
      <c r="DS90" s="145"/>
      <c r="DT90" s="145"/>
      <c r="DU90" s="145"/>
      <c r="DV90" s="145"/>
      <c r="DW90" s="145"/>
      <c r="DX90" s="145"/>
      <c r="DY90" s="145"/>
      <c r="DZ90" s="145"/>
      <c r="EA90" s="145"/>
      <c r="EB90" s="145"/>
      <c r="EC90" s="145"/>
      <c r="ED90" s="145"/>
      <c r="EE90" s="145"/>
      <c r="EF90" s="136"/>
    </row>
    <row r="91" spans="1:136">
      <c r="A91" s="112">
        <v>1918</v>
      </c>
      <c r="B91" s="153" t="s">
        <v>73</v>
      </c>
      <c r="C91" s="146">
        <v>2658483</v>
      </c>
      <c r="D91" s="112" t="s">
        <v>406</v>
      </c>
      <c r="E91" s="111">
        <v>122</v>
      </c>
      <c r="F91" s="112" t="s">
        <v>313</v>
      </c>
      <c r="G91" s="112"/>
      <c r="H91" s="112" t="s">
        <v>314</v>
      </c>
      <c r="I91" s="112"/>
      <c r="J91" s="113">
        <v>42752</v>
      </c>
      <c r="K91" s="114">
        <v>42</v>
      </c>
      <c r="L91" s="115">
        <v>0</v>
      </c>
      <c r="M91" s="113">
        <v>42370</v>
      </c>
      <c r="N91" s="112">
        <v>2</v>
      </c>
      <c r="O91" s="137">
        <v>42782</v>
      </c>
      <c r="P91" s="5">
        <v>42808</v>
      </c>
      <c r="Q91" s="179"/>
      <c r="R91" s="112"/>
      <c r="S91" s="112"/>
      <c r="T91" s="112"/>
      <c r="U91" s="112"/>
      <c r="V91" s="112"/>
      <c r="W91" s="112"/>
      <c r="X91" s="112"/>
      <c r="Y91" s="140">
        <v>42782</v>
      </c>
      <c r="Z91" s="140">
        <v>42808</v>
      </c>
      <c r="AA91" s="7"/>
      <c r="AB91" s="7"/>
      <c r="AC91" s="7"/>
      <c r="AD91" s="7"/>
      <c r="AE91" s="7"/>
      <c r="AF91" s="7"/>
      <c r="AG91" s="7"/>
      <c r="AH91" s="121">
        <v>1</v>
      </c>
      <c r="AI91" s="124"/>
      <c r="AJ91" s="121"/>
      <c r="AK91" s="121"/>
      <c r="AL91" s="121"/>
      <c r="AM91" s="121"/>
      <c r="AN91" s="121"/>
      <c r="AO91" s="121"/>
      <c r="AP91" s="121"/>
      <c r="AQ91" s="125">
        <v>847</v>
      </c>
      <c r="AR91" s="125">
        <v>1736.3999999999999</v>
      </c>
      <c r="AS91" s="126"/>
      <c r="AT91" s="126"/>
      <c r="AU91" s="127"/>
      <c r="AV91" s="127"/>
      <c r="AW91" s="127"/>
      <c r="AX91" s="127"/>
      <c r="AY91" s="127"/>
      <c r="AZ91" s="125">
        <v>1.74</v>
      </c>
      <c r="BA91" s="125">
        <v>11.32</v>
      </c>
      <c r="BB91" s="127"/>
      <c r="BC91" s="127"/>
      <c r="BD91" s="127"/>
      <c r="BE91" s="127"/>
      <c r="BF91" s="127"/>
      <c r="BG91" s="127"/>
      <c r="BH91" s="127"/>
      <c r="BI91" s="125">
        <v>34.520000000000003</v>
      </c>
      <c r="BJ91" s="125">
        <v>80.05</v>
      </c>
      <c r="BK91" s="127"/>
      <c r="BL91" s="127"/>
      <c r="BM91" s="127"/>
      <c r="BN91" s="127"/>
      <c r="BO91" s="127"/>
      <c r="BP91" s="127"/>
      <c r="BQ91" s="127"/>
      <c r="BR91" s="125">
        <v>882.73</v>
      </c>
      <c r="BS91" s="125">
        <v>497.72</v>
      </c>
      <c r="BT91" s="127"/>
      <c r="BU91" s="127"/>
      <c r="BV91" s="127"/>
      <c r="BW91" s="127"/>
      <c r="BX91" s="127"/>
      <c r="BY91" s="127"/>
      <c r="BZ91" s="127"/>
      <c r="CA91" s="9">
        <v>42</v>
      </c>
      <c r="CB91" s="7">
        <v>42752</v>
      </c>
      <c r="CC91" s="9">
        <f t="shared" si="37"/>
        <v>-1</v>
      </c>
      <c r="CD91" s="9">
        <v>41</v>
      </c>
      <c r="CE91" s="137">
        <v>42782</v>
      </c>
      <c r="CF91" s="128"/>
      <c r="CG91" s="128"/>
      <c r="CH91" s="39">
        <v>41</v>
      </c>
      <c r="CI91" s="40">
        <v>42782</v>
      </c>
      <c r="CJ91" s="18">
        <v>0</v>
      </c>
      <c r="CK91" s="39"/>
      <c r="CL91" s="40"/>
      <c r="CM91" s="63"/>
      <c r="CN91" s="41"/>
      <c r="CO91" s="42"/>
      <c r="CP91" s="23"/>
      <c r="CQ91" s="39"/>
      <c r="CR91" s="46"/>
      <c r="CS91" s="24"/>
      <c r="CT91" s="39"/>
      <c r="CU91" s="46"/>
      <c r="CV91" s="29"/>
      <c r="CW91" s="9"/>
      <c r="CX91" s="7"/>
      <c r="CY91" s="9"/>
      <c r="CZ91" s="127">
        <f t="shared" si="39"/>
        <v>0.5</v>
      </c>
      <c r="DA91" s="127">
        <f t="shared" si="40"/>
        <v>0.5</v>
      </c>
      <c r="DB91" s="127">
        <f t="shared" si="41"/>
        <v>1</v>
      </c>
      <c r="DC91" s="127"/>
      <c r="DD91" s="127" t="e">
        <f t="shared" si="51"/>
        <v>#DIV/0!</v>
      </c>
      <c r="DE91" s="9">
        <f t="shared" si="52"/>
        <v>0</v>
      </c>
      <c r="DF91" s="127">
        <f t="shared" si="53"/>
        <v>1</v>
      </c>
      <c r="DG91" s="9">
        <f t="shared" si="54"/>
        <v>1</v>
      </c>
      <c r="DH91" s="129" t="e">
        <f t="shared" si="46"/>
        <v>#DIV/0!</v>
      </c>
      <c r="DI91" s="129"/>
      <c r="DJ91" s="129">
        <f t="shared" si="47"/>
        <v>0.5</v>
      </c>
      <c r="DK91" s="9"/>
      <c r="DL91" s="7"/>
      <c r="DM91" s="9"/>
      <c r="DN91" s="7"/>
      <c r="DO91" s="9">
        <f t="shared" si="48"/>
        <v>13</v>
      </c>
      <c r="DP91" s="114">
        <f t="shared" si="49"/>
        <v>14</v>
      </c>
      <c r="DQ91" s="114">
        <f t="shared" si="50"/>
        <v>1</v>
      </c>
      <c r="DR91" s="131">
        <v>1</v>
      </c>
      <c r="DS91" s="145"/>
      <c r="DT91" s="145"/>
      <c r="DU91" s="145"/>
      <c r="DV91" s="145"/>
      <c r="DW91" s="145"/>
      <c r="DX91" s="145"/>
      <c r="DY91" s="145"/>
      <c r="DZ91" s="145"/>
      <c r="EA91" s="145"/>
      <c r="EB91" s="145"/>
      <c r="EC91" s="145"/>
      <c r="ED91" s="145"/>
      <c r="EE91" s="145"/>
      <c r="EF91" s="156"/>
    </row>
    <row r="92" spans="1:136">
      <c r="A92" s="112">
        <v>1788</v>
      </c>
      <c r="B92" s="142" t="s">
        <v>74</v>
      </c>
      <c r="C92" s="146">
        <v>2631251</v>
      </c>
      <c r="D92" s="112" t="s">
        <v>407</v>
      </c>
      <c r="E92" s="111">
        <v>113</v>
      </c>
      <c r="F92" s="112" t="s">
        <v>313</v>
      </c>
      <c r="G92" s="112"/>
      <c r="H92" s="112" t="s">
        <v>314</v>
      </c>
      <c r="I92" s="112"/>
      <c r="J92" s="113">
        <v>42523</v>
      </c>
      <c r="K92" s="114">
        <v>34</v>
      </c>
      <c r="L92" s="112">
        <v>2</v>
      </c>
      <c r="M92" s="113">
        <v>40391</v>
      </c>
      <c r="N92" s="112">
        <v>2</v>
      </c>
      <c r="O92" s="137">
        <v>42608</v>
      </c>
      <c r="P92" s="5">
        <v>42634</v>
      </c>
      <c r="Q92" s="179"/>
      <c r="R92" s="112"/>
      <c r="S92" s="112"/>
      <c r="T92" s="112"/>
      <c r="U92" s="112"/>
      <c r="V92" s="112"/>
      <c r="W92" s="112"/>
      <c r="X92" s="112"/>
      <c r="Y92" s="140" t="s">
        <v>408</v>
      </c>
      <c r="Z92" s="140" t="s">
        <v>409</v>
      </c>
      <c r="AA92" s="7"/>
      <c r="AB92" s="7"/>
      <c r="AC92" s="7"/>
      <c r="AD92" s="7"/>
      <c r="AE92" s="7"/>
      <c r="AF92" s="7"/>
      <c r="AG92" s="7"/>
      <c r="AH92" s="121">
        <v>1</v>
      </c>
      <c r="AI92" s="124"/>
      <c r="AJ92" s="124"/>
      <c r="AK92" s="124"/>
      <c r="AL92" s="124"/>
      <c r="AM92" s="124"/>
      <c r="AN92" s="124"/>
      <c r="AO92" s="124"/>
      <c r="AP92" s="124"/>
      <c r="AQ92" s="125">
        <v>1203.1999999999998</v>
      </c>
      <c r="AR92" s="125">
        <v>1592.1000000000001</v>
      </c>
      <c r="AS92" s="126"/>
      <c r="AT92" s="126"/>
      <c r="AU92" s="127"/>
      <c r="AV92" s="127"/>
      <c r="AW92" s="127"/>
      <c r="AX92" s="127"/>
      <c r="AY92" s="127"/>
      <c r="AZ92" s="125">
        <v>1.18</v>
      </c>
      <c r="BA92" s="125">
        <v>1.18</v>
      </c>
      <c r="BB92" s="127"/>
      <c r="BC92" s="127"/>
      <c r="BD92" s="127"/>
      <c r="BE92" s="127"/>
      <c r="BF92" s="127"/>
      <c r="BG92" s="127"/>
      <c r="BH92" s="127"/>
      <c r="BI92" s="125">
        <v>41.9</v>
      </c>
      <c r="BJ92" s="125">
        <v>32.58</v>
      </c>
      <c r="BK92" s="127"/>
      <c r="BL92" s="127"/>
      <c r="BM92" s="127"/>
      <c r="BN92" s="127"/>
      <c r="BO92" s="127"/>
      <c r="BP92" s="127"/>
      <c r="BQ92" s="127"/>
      <c r="BR92" s="125">
        <v>668.78</v>
      </c>
      <c r="BS92" s="125">
        <v>715.1</v>
      </c>
      <c r="BT92" s="127"/>
      <c r="BU92" s="127"/>
      <c r="BV92" s="127"/>
      <c r="BW92" s="127"/>
      <c r="BX92" s="127"/>
      <c r="BY92" s="127"/>
      <c r="BZ92" s="127"/>
      <c r="CA92" s="9">
        <v>34</v>
      </c>
      <c r="CB92" s="7">
        <v>42523</v>
      </c>
      <c r="CC92" s="9">
        <f t="shared" si="37"/>
        <v>-3</v>
      </c>
      <c r="CD92" s="9">
        <v>34</v>
      </c>
      <c r="CE92" s="137">
        <v>42608</v>
      </c>
      <c r="CF92" s="128"/>
      <c r="CG92" s="128"/>
      <c r="CH92" s="59">
        <v>34</v>
      </c>
      <c r="CI92" s="69">
        <v>42608</v>
      </c>
      <c r="CJ92" s="18">
        <v>0</v>
      </c>
      <c r="CK92" s="59"/>
      <c r="CL92" s="40"/>
      <c r="CM92" s="63"/>
      <c r="CN92" s="41"/>
      <c r="CO92" s="42"/>
      <c r="CP92" s="23"/>
      <c r="CQ92" s="39"/>
      <c r="CR92" s="46"/>
      <c r="CS92" s="24"/>
      <c r="CT92" s="39"/>
      <c r="CU92" s="46"/>
      <c r="CV92" s="29"/>
      <c r="CW92" s="9"/>
      <c r="CX92" s="7"/>
      <c r="CY92" s="9"/>
      <c r="CZ92" s="127">
        <f t="shared" si="39"/>
        <v>0.19178082191780821</v>
      </c>
      <c r="DA92" s="127">
        <f t="shared" si="40"/>
        <v>0.19178082191780821</v>
      </c>
      <c r="DB92" s="127">
        <f t="shared" si="41"/>
        <v>0</v>
      </c>
      <c r="DC92" s="127"/>
      <c r="DD92" s="127" t="e">
        <f t="shared" si="51"/>
        <v>#DIV/0!</v>
      </c>
      <c r="DE92" s="9">
        <f t="shared" si="52"/>
        <v>0</v>
      </c>
      <c r="DF92" s="127">
        <f t="shared" si="53"/>
        <v>0</v>
      </c>
      <c r="DG92" s="9">
        <f t="shared" si="54"/>
        <v>3</v>
      </c>
      <c r="DH92" s="129" t="e">
        <f t="shared" si="46"/>
        <v>#DIV/0!</v>
      </c>
      <c r="DI92" s="129"/>
      <c r="DJ92" s="129">
        <f t="shared" si="47"/>
        <v>-0.19178082191780821</v>
      </c>
      <c r="DK92" s="9"/>
      <c r="DL92" s="7"/>
      <c r="DM92" s="9"/>
      <c r="DN92" s="7"/>
      <c r="DO92" s="9">
        <f t="shared" si="48"/>
        <v>70</v>
      </c>
      <c r="DP92" s="114">
        <f t="shared" si="49"/>
        <v>73</v>
      </c>
      <c r="DQ92" s="114">
        <f t="shared" si="50"/>
        <v>3</v>
      </c>
      <c r="DR92" s="131">
        <v>1</v>
      </c>
      <c r="DS92" s="145"/>
      <c r="DT92" s="145"/>
      <c r="DU92" s="145"/>
      <c r="DV92" s="145"/>
      <c r="DW92" s="145"/>
      <c r="DX92" s="145"/>
      <c r="DY92" s="145"/>
      <c r="DZ92" s="145"/>
      <c r="EA92" s="145"/>
      <c r="EB92" s="145"/>
      <c r="EC92" s="145"/>
      <c r="ED92" s="145"/>
      <c r="EE92" s="145"/>
      <c r="EF92" s="136"/>
    </row>
    <row r="93" spans="1:136">
      <c r="A93" s="112">
        <v>1557</v>
      </c>
      <c r="B93" s="153" t="s">
        <v>75</v>
      </c>
      <c r="C93" s="146">
        <v>2589905</v>
      </c>
      <c r="D93" s="115" t="s">
        <v>410</v>
      </c>
      <c r="E93" s="111">
        <v>68</v>
      </c>
      <c r="F93" s="112" t="s">
        <v>313</v>
      </c>
      <c r="G93" s="112"/>
      <c r="H93" s="112" t="s">
        <v>314</v>
      </c>
      <c r="I93" s="112"/>
      <c r="J93" s="113">
        <v>42194</v>
      </c>
      <c r="K93" s="114">
        <v>32</v>
      </c>
      <c r="L93" s="112">
        <v>0</v>
      </c>
      <c r="M93" s="113">
        <v>41579</v>
      </c>
      <c r="N93" s="112">
        <v>2</v>
      </c>
      <c r="O93" s="137">
        <v>42223</v>
      </c>
      <c r="P93" s="5">
        <v>42249</v>
      </c>
      <c r="Q93" s="179"/>
      <c r="R93" s="112"/>
      <c r="S93" s="112"/>
      <c r="T93" s="112"/>
      <c r="U93" s="112"/>
      <c r="V93" s="112"/>
      <c r="W93" s="112"/>
      <c r="X93" s="112"/>
      <c r="Y93" s="140">
        <v>42223</v>
      </c>
      <c r="Z93" s="140">
        <v>42249</v>
      </c>
      <c r="AA93" s="7"/>
      <c r="AB93" s="7"/>
      <c r="AC93" s="7"/>
      <c r="AD93" s="7"/>
      <c r="AE93" s="7"/>
      <c r="AF93" s="7"/>
      <c r="AG93" s="7"/>
      <c r="AH93" s="121">
        <v>1</v>
      </c>
      <c r="AI93" s="124"/>
      <c r="AJ93" s="124"/>
      <c r="AK93" s="124"/>
      <c r="AL93" s="121"/>
      <c r="AM93" s="121"/>
      <c r="AN93" s="121"/>
      <c r="AO93" s="121"/>
      <c r="AP93" s="121"/>
      <c r="AQ93" s="125">
        <v>1538.8</v>
      </c>
      <c r="AR93" s="125">
        <v>1951.8000000000002</v>
      </c>
      <c r="AS93" s="126"/>
      <c r="AT93" s="126"/>
      <c r="AU93" s="127"/>
      <c r="AV93" s="127"/>
      <c r="AW93" s="127"/>
      <c r="AX93" s="127"/>
      <c r="AY93" s="127"/>
      <c r="AZ93" s="125">
        <v>4.47</v>
      </c>
      <c r="BA93" s="125">
        <v>7.86</v>
      </c>
      <c r="BB93" s="127"/>
      <c r="BC93" s="127"/>
      <c r="BD93" s="127"/>
      <c r="BE93" s="127"/>
      <c r="BF93" s="127"/>
      <c r="BG93" s="127"/>
      <c r="BH93" s="127"/>
      <c r="BI93" s="125">
        <v>55.62</v>
      </c>
      <c r="BJ93" s="125">
        <v>69.56</v>
      </c>
      <c r="BK93" s="127"/>
      <c r="BL93" s="127"/>
      <c r="BM93" s="127"/>
      <c r="BN93" s="127"/>
      <c r="BO93" s="127"/>
      <c r="BP93" s="127"/>
      <c r="BQ93" s="127"/>
      <c r="BR93" s="125">
        <v>1102.21</v>
      </c>
      <c r="BS93" s="125">
        <v>1159.42</v>
      </c>
      <c r="BT93" s="127"/>
      <c r="BU93" s="127"/>
      <c r="BV93" s="127"/>
      <c r="BW93" s="127"/>
      <c r="BX93" s="127"/>
      <c r="BY93" s="127"/>
      <c r="BZ93" s="127"/>
      <c r="CA93" s="9">
        <v>32</v>
      </c>
      <c r="CB93" s="7">
        <v>42194</v>
      </c>
      <c r="CC93" s="9">
        <f t="shared" si="37"/>
        <v>-1</v>
      </c>
      <c r="CD93" s="9">
        <v>29</v>
      </c>
      <c r="CE93" s="5">
        <v>42223</v>
      </c>
      <c r="CF93" s="128"/>
      <c r="CG93" s="128"/>
      <c r="CH93" s="59">
        <v>29</v>
      </c>
      <c r="CI93" s="70">
        <v>42223</v>
      </c>
      <c r="CJ93" s="18">
        <v>0</v>
      </c>
      <c r="CK93" s="59"/>
      <c r="CL93" s="40"/>
      <c r="CM93" s="63"/>
      <c r="CN93" s="41"/>
      <c r="CO93" s="42"/>
      <c r="CP93" s="23"/>
      <c r="CQ93" s="39"/>
      <c r="CR93" s="46"/>
      <c r="CS93" s="24"/>
      <c r="CT93" s="39"/>
      <c r="CU93" s="46"/>
      <c r="CV93" s="29"/>
      <c r="CW93" s="9"/>
      <c r="CX93" s="7"/>
      <c r="CY93" s="9"/>
      <c r="CZ93" s="127">
        <f t="shared" si="39"/>
        <v>0.90476190476190477</v>
      </c>
      <c r="DA93" s="127">
        <f t="shared" si="40"/>
        <v>0.90476190476190477</v>
      </c>
      <c r="DB93" s="127">
        <f t="shared" si="41"/>
        <v>3</v>
      </c>
      <c r="DC93" s="127"/>
      <c r="DD93" s="127" t="e">
        <f t="shared" si="51"/>
        <v>#DIV/0!</v>
      </c>
      <c r="DE93" s="9">
        <f t="shared" si="52"/>
        <v>0</v>
      </c>
      <c r="DF93" s="127">
        <f t="shared" si="53"/>
        <v>3</v>
      </c>
      <c r="DG93" s="9">
        <f t="shared" si="54"/>
        <v>1</v>
      </c>
      <c r="DH93" s="129" t="e">
        <f t="shared" si="46"/>
        <v>#DIV/0!</v>
      </c>
      <c r="DI93" s="129"/>
      <c r="DJ93" s="129">
        <f t="shared" si="47"/>
        <v>2.0952380952380953</v>
      </c>
      <c r="DK93" s="9"/>
      <c r="DL93" s="7"/>
      <c r="DM93" s="9"/>
      <c r="DN93" s="7"/>
      <c r="DO93" s="9">
        <f t="shared" si="48"/>
        <v>20</v>
      </c>
      <c r="DP93" s="114">
        <f t="shared" si="49"/>
        <v>21</v>
      </c>
      <c r="DQ93" s="114">
        <f t="shared" si="50"/>
        <v>1</v>
      </c>
      <c r="DR93" s="131">
        <v>1</v>
      </c>
      <c r="DS93" s="145"/>
      <c r="DT93" s="145"/>
      <c r="DU93" s="145"/>
      <c r="DV93" s="145"/>
      <c r="DW93" s="145"/>
      <c r="DX93" s="145"/>
      <c r="DY93" s="145"/>
      <c r="DZ93" s="145"/>
      <c r="EA93" s="145"/>
      <c r="EB93" s="145"/>
      <c r="EC93" s="145"/>
      <c r="ED93" s="145"/>
      <c r="EE93" s="145"/>
      <c r="EF93" s="136"/>
    </row>
    <row r="94" spans="1:136">
      <c r="A94" s="112">
        <v>1756</v>
      </c>
      <c r="B94" s="153" t="s">
        <v>311</v>
      </c>
      <c r="C94" s="146">
        <v>2623081</v>
      </c>
      <c r="D94" s="115" t="s">
        <v>411</v>
      </c>
      <c r="E94" s="111">
        <v>110</v>
      </c>
      <c r="F94" s="112" t="s">
        <v>313</v>
      </c>
      <c r="G94" s="112"/>
      <c r="H94" s="112" t="s">
        <v>314</v>
      </c>
      <c r="I94" s="112"/>
      <c r="J94" s="113">
        <v>42467</v>
      </c>
      <c r="K94" s="183" t="s">
        <v>412</v>
      </c>
      <c r="L94" s="112">
        <v>3</v>
      </c>
      <c r="M94" s="113">
        <v>40909</v>
      </c>
      <c r="N94" s="112">
        <v>2</v>
      </c>
      <c r="O94" s="137">
        <v>42572</v>
      </c>
      <c r="P94" s="5">
        <v>42598</v>
      </c>
      <c r="Q94" s="179"/>
      <c r="R94" s="112"/>
      <c r="S94" s="112"/>
      <c r="T94" s="112"/>
      <c r="U94" s="112"/>
      <c r="V94" s="112"/>
      <c r="W94" s="112"/>
      <c r="X94" s="112"/>
      <c r="Y94" s="140">
        <v>42572</v>
      </c>
      <c r="Z94" s="140">
        <v>42598</v>
      </c>
      <c r="AA94" s="7"/>
      <c r="AB94" s="7"/>
      <c r="AC94" s="7"/>
      <c r="AD94" s="7"/>
      <c r="AE94" s="7"/>
      <c r="AF94" s="7"/>
      <c r="AG94" s="7"/>
      <c r="AH94" s="121">
        <v>1</v>
      </c>
      <c r="AI94" s="124"/>
      <c r="AJ94" s="121"/>
      <c r="AK94" s="124"/>
      <c r="AL94" s="124"/>
      <c r="AM94" s="124"/>
      <c r="AN94" s="124"/>
      <c r="AO94" s="124"/>
      <c r="AP94" s="124"/>
      <c r="AQ94" s="125">
        <v>990.40000000000009</v>
      </c>
      <c r="AR94" s="125">
        <v>1343.5</v>
      </c>
      <c r="AS94" s="126"/>
      <c r="AT94" s="126"/>
      <c r="AU94" s="127"/>
      <c r="AV94" s="127"/>
      <c r="AW94" s="127"/>
      <c r="AX94" s="127"/>
      <c r="AY94" s="127"/>
      <c r="AZ94" s="125">
        <v>1.37</v>
      </c>
      <c r="BA94" s="125">
        <v>1.52</v>
      </c>
      <c r="BB94" s="127"/>
      <c r="BC94" s="127"/>
      <c r="BD94" s="127"/>
      <c r="BE94" s="127"/>
      <c r="BF94" s="127"/>
      <c r="BG94" s="127"/>
      <c r="BH94" s="127"/>
      <c r="BI94" s="125">
        <v>56.88</v>
      </c>
      <c r="BJ94" s="125">
        <v>64.53</v>
      </c>
      <c r="BK94" s="127"/>
      <c r="BL94" s="127"/>
      <c r="BM94" s="127"/>
      <c r="BN94" s="127"/>
      <c r="BO94" s="127"/>
      <c r="BP94" s="127"/>
      <c r="BQ94" s="127"/>
      <c r="BR94" s="125">
        <v>6816.24</v>
      </c>
      <c r="BS94" s="125">
        <v>6676.24</v>
      </c>
      <c r="BT94" s="127"/>
      <c r="BU94" s="127"/>
      <c r="BV94" s="127"/>
      <c r="BW94" s="127"/>
      <c r="BX94" s="127"/>
      <c r="BY94" s="127"/>
      <c r="BZ94" s="127"/>
      <c r="CA94" s="9"/>
      <c r="CB94" s="7"/>
      <c r="CC94" s="9"/>
      <c r="CD94" s="9"/>
      <c r="CE94" s="137"/>
      <c r="CF94" s="128"/>
      <c r="CG94" s="128"/>
      <c r="CH94" s="9"/>
      <c r="CI94" s="182"/>
      <c r="CJ94" s="18"/>
      <c r="CK94" s="59"/>
      <c r="CL94" s="40"/>
      <c r="CM94" s="21"/>
      <c r="CN94" s="41"/>
      <c r="CO94" s="42"/>
      <c r="CP94" s="23"/>
      <c r="CQ94" s="39"/>
      <c r="CR94" s="46"/>
      <c r="CS94" s="24"/>
      <c r="CT94" s="39"/>
      <c r="CU94" s="46"/>
      <c r="CV94" s="29"/>
      <c r="CW94" s="9"/>
      <c r="CX94" s="7"/>
      <c r="CY94" s="9"/>
      <c r="CZ94" s="127"/>
      <c r="DA94" s="127"/>
      <c r="DB94" s="127"/>
      <c r="DC94" s="127"/>
      <c r="DD94" s="127"/>
      <c r="DE94" s="9"/>
      <c r="DF94" s="127"/>
      <c r="DG94" s="9"/>
      <c r="DH94" s="129"/>
      <c r="DI94" s="129"/>
      <c r="DJ94" s="129"/>
      <c r="DK94" s="9"/>
      <c r="DL94" s="7"/>
      <c r="DM94" s="9"/>
      <c r="DN94" s="7"/>
      <c r="DO94" s="9"/>
      <c r="DP94" s="114"/>
      <c r="DQ94" s="114"/>
      <c r="DR94" s="131">
        <v>1</v>
      </c>
      <c r="DS94" s="145"/>
      <c r="DT94" s="145"/>
      <c r="DU94" s="145"/>
      <c r="DV94" s="145"/>
      <c r="DW94" s="145"/>
      <c r="DX94" s="145"/>
      <c r="DY94" s="145"/>
      <c r="DZ94" s="145"/>
      <c r="EA94" s="145"/>
      <c r="EB94" s="145"/>
      <c r="EC94" s="145"/>
      <c r="ED94" s="145"/>
      <c r="EE94" s="145"/>
      <c r="EF94" s="136"/>
    </row>
    <row r="95" spans="1:136">
      <c r="A95" s="112">
        <v>1440</v>
      </c>
      <c r="B95" s="153" t="s">
        <v>79</v>
      </c>
      <c r="C95" s="146">
        <v>2568783</v>
      </c>
      <c r="D95" s="112" t="s">
        <v>416</v>
      </c>
      <c r="E95" s="111">
        <v>64</v>
      </c>
      <c r="F95" s="112" t="s">
        <v>318</v>
      </c>
      <c r="G95" s="112"/>
      <c r="H95" s="112" t="s">
        <v>319</v>
      </c>
      <c r="I95" s="112"/>
      <c r="J95" s="113">
        <v>42034</v>
      </c>
      <c r="K95" s="114">
        <v>43</v>
      </c>
      <c r="L95" s="112">
        <v>6</v>
      </c>
      <c r="M95" s="113">
        <v>41426</v>
      </c>
      <c r="N95" s="112">
        <v>2</v>
      </c>
      <c r="O95" s="137">
        <v>42216</v>
      </c>
      <c r="P95" s="116">
        <v>42269</v>
      </c>
      <c r="Q95" s="179"/>
      <c r="R95" s="112"/>
      <c r="S95" s="112"/>
      <c r="T95" s="112"/>
      <c r="U95" s="112"/>
      <c r="V95" s="112"/>
      <c r="W95" s="112"/>
      <c r="X95" s="112"/>
      <c r="Y95" s="140" t="s">
        <v>417</v>
      </c>
      <c r="Z95" s="140" t="s">
        <v>418</v>
      </c>
      <c r="AA95" s="7"/>
      <c r="AB95" s="7"/>
      <c r="AC95" s="7"/>
      <c r="AD95" s="7"/>
      <c r="AE95" s="7"/>
      <c r="AF95" s="7"/>
      <c r="AG95" s="7"/>
      <c r="AH95" s="121">
        <v>2</v>
      </c>
      <c r="AI95" s="124"/>
      <c r="AJ95" s="121"/>
      <c r="AK95" s="121"/>
      <c r="AL95" s="121"/>
      <c r="AM95" s="121"/>
      <c r="AN95" s="121"/>
      <c r="AO95" s="121"/>
      <c r="AP95" s="121"/>
      <c r="AQ95" s="125">
        <v>814.73</v>
      </c>
      <c r="AR95" s="125">
        <v>1565.2</v>
      </c>
      <c r="AS95" s="126"/>
      <c r="AT95" s="126"/>
      <c r="AU95" s="127"/>
      <c r="AV95" s="127"/>
      <c r="AW95" s="127"/>
      <c r="AX95" s="127"/>
      <c r="AY95" s="127"/>
      <c r="AZ95" s="125">
        <v>2</v>
      </c>
      <c r="BA95" s="125">
        <v>2.23</v>
      </c>
      <c r="BB95" s="127"/>
      <c r="BC95" s="127"/>
      <c r="BD95" s="127"/>
      <c r="BE95" s="127"/>
      <c r="BF95" s="127"/>
      <c r="BG95" s="127"/>
      <c r="BH95" s="127"/>
      <c r="BI95" s="125">
        <v>37.74</v>
      </c>
      <c r="BJ95" s="125">
        <v>64.59</v>
      </c>
      <c r="BK95" s="127"/>
      <c r="BL95" s="127"/>
      <c r="BM95" s="127"/>
      <c r="BN95" s="127"/>
      <c r="BO95" s="127"/>
      <c r="BP95" s="127"/>
      <c r="BQ95" s="127"/>
      <c r="BR95" s="125">
        <v>801</v>
      </c>
      <c r="BS95" s="125">
        <v>579.04999999999995</v>
      </c>
      <c r="BT95" s="127"/>
      <c r="BU95" s="127"/>
      <c r="BV95" s="127"/>
      <c r="BW95" s="127"/>
      <c r="BX95" s="127"/>
      <c r="BY95" s="127"/>
      <c r="BZ95" s="127"/>
      <c r="CA95" s="9">
        <v>43</v>
      </c>
      <c r="CB95" s="7">
        <v>42034</v>
      </c>
      <c r="CC95" s="9">
        <f>ROUND((CB95-Y95)/30.5,0)</f>
        <v>-6</v>
      </c>
      <c r="CD95" s="9">
        <v>36</v>
      </c>
      <c r="CE95" s="137">
        <v>42216</v>
      </c>
      <c r="CF95" s="128">
        <f>ROUND((CL95-CE95)/30.5,0)</f>
        <v>6</v>
      </c>
      <c r="CG95" s="128">
        <f>ROUND((CO95-CE95)/30.5,0)</f>
        <v>8</v>
      </c>
      <c r="CH95" s="59">
        <v>36</v>
      </c>
      <c r="CI95" s="70">
        <v>42216</v>
      </c>
      <c r="CJ95" s="18">
        <v>0</v>
      </c>
      <c r="CK95" s="39">
        <v>36</v>
      </c>
      <c r="CL95" s="40">
        <v>42389</v>
      </c>
      <c r="CM95" s="21">
        <v>6</v>
      </c>
      <c r="CN95" s="41">
        <v>36</v>
      </c>
      <c r="CO95" s="42">
        <v>42457</v>
      </c>
      <c r="CP95" s="23">
        <v>8</v>
      </c>
      <c r="CQ95" s="39">
        <v>32</v>
      </c>
      <c r="CR95" s="46">
        <v>42583</v>
      </c>
      <c r="CS95" s="24">
        <v>12</v>
      </c>
      <c r="CT95" s="8"/>
      <c r="CU95" s="6"/>
      <c r="CV95" s="9"/>
      <c r="CW95" s="27"/>
      <c r="CX95" s="27"/>
      <c r="CY95" s="28"/>
      <c r="CZ95" s="127">
        <f>(48-CH95)/DP95</f>
        <v>0.46153846153846156</v>
      </c>
      <c r="DA95" s="127">
        <f>(48-CD95)/DP95</f>
        <v>0.46153846153846156</v>
      </c>
      <c r="DB95" s="127">
        <f>(CA95-CD95)/DQ95</f>
        <v>1.1666666666666667</v>
      </c>
      <c r="DC95" s="127">
        <f>(CD95-MIN(CK95,CN95))/MAX(CF95,CG95)</f>
        <v>0</v>
      </c>
      <c r="DD95" s="127">
        <f>((CH95-MIN(CA95,CH95,CK95,CN95,CQ95,CT95,CW95)))/DE95</f>
        <v>0.33333333333333331</v>
      </c>
      <c r="DE95" s="9">
        <f>ROUND((MAX(CI95,CL95,CO95,CR95,CU95,CX95)-CI95)/30.5,0)</f>
        <v>12</v>
      </c>
      <c r="DF95" s="127">
        <f>((CA95-MIN(CA95,CH95,CK95,CN95,CQ95,CT95,CW95)))/DG95</f>
        <v>0.61111111111111116</v>
      </c>
      <c r="DG95" s="9">
        <f>ROUND((MAX(CI95,CL95,CO95,CR95,CU95,CX95)-CB95)/30.5,0)</f>
        <v>18</v>
      </c>
      <c r="DH95" s="129">
        <f>DD95-DB95</f>
        <v>-0.83333333333333348</v>
      </c>
      <c r="DI95" s="152">
        <f>DC95-DB95</f>
        <v>-1.1666666666666667</v>
      </c>
      <c r="DJ95" s="129">
        <f>DF95-CZ95</f>
        <v>0.1495726495726496</v>
      </c>
      <c r="DK95" s="9"/>
      <c r="DL95" s="7"/>
      <c r="DM95" s="9"/>
      <c r="DN95" s="7"/>
      <c r="DO95" s="9">
        <f>ROUND((CB95-M95)/30.5,0)</f>
        <v>20</v>
      </c>
      <c r="DP95" s="114">
        <f>ROUND((CI95-M95)/30.5,0)</f>
        <v>26</v>
      </c>
      <c r="DQ95" s="114">
        <f>ROUND((CE95-CB95)/30.5,0)</f>
        <v>6</v>
      </c>
      <c r="DR95" s="131">
        <v>2</v>
      </c>
      <c r="DS95" s="145"/>
      <c r="DT95" s="145"/>
      <c r="DU95" s="145"/>
      <c r="DV95" s="145"/>
      <c r="DW95" s="145"/>
      <c r="DX95" s="145"/>
      <c r="DY95" s="145"/>
      <c r="DZ95" s="145"/>
      <c r="EA95" s="145"/>
      <c r="EB95" s="145"/>
      <c r="EC95" s="145"/>
      <c r="ED95" s="145"/>
      <c r="EE95" s="145"/>
      <c r="EF95" s="156"/>
    </row>
    <row r="96" spans="1:136">
      <c r="A96" s="112">
        <v>2653</v>
      </c>
      <c r="B96" s="108" t="s">
        <v>311</v>
      </c>
      <c r="C96" s="146">
        <v>2779308</v>
      </c>
      <c r="D96" s="115" t="s">
        <v>419</v>
      </c>
      <c r="E96" s="148">
        <v>246</v>
      </c>
      <c r="F96" s="112" t="s">
        <v>313</v>
      </c>
      <c r="G96" s="112">
        <v>1</v>
      </c>
      <c r="H96" s="112" t="s">
        <v>314</v>
      </c>
      <c r="I96" s="112"/>
      <c r="J96" s="113">
        <v>43770</v>
      </c>
      <c r="K96" s="114">
        <v>33</v>
      </c>
      <c r="L96" s="112">
        <v>1</v>
      </c>
      <c r="M96" s="113">
        <v>43525</v>
      </c>
      <c r="N96" s="112">
        <v>2</v>
      </c>
      <c r="O96" s="137">
        <v>43809</v>
      </c>
      <c r="P96" s="116">
        <v>43865</v>
      </c>
      <c r="Q96" s="179"/>
      <c r="R96" s="112"/>
      <c r="S96" s="112"/>
      <c r="T96" s="112"/>
      <c r="U96" s="112"/>
      <c r="V96" s="112"/>
      <c r="W96" s="112"/>
      <c r="X96" s="112"/>
      <c r="Y96" s="180">
        <v>43809</v>
      </c>
      <c r="Z96" s="184">
        <v>43865</v>
      </c>
      <c r="AA96" s="7"/>
      <c r="AB96" s="7"/>
      <c r="AC96" s="7"/>
      <c r="AD96" s="7"/>
      <c r="AE96" s="7"/>
      <c r="AF96" s="7"/>
      <c r="AG96" s="7"/>
      <c r="AH96" s="121">
        <v>2</v>
      </c>
      <c r="AI96" s="124"/>
      <c r="AJ96" s="124"/>
      <c r="AK96" s="121"/>
      <c r="AL96" s="121"/>
      <c r="AM96" s="121"/>
      <c r="AN96" s="121"/>
      <c r="AO96" s="121"/>
      <c r="AP96" s="121"/>
      <c r="AQ96" s="125">
        <v>1211</v>
      </c>
      <c r="AR96" s="125">
        <v>1688.1999999999998</v>
      </c>
      <c r="AS96" s="126"/>
      <c r="AT96" s="126"/>
      <c r="AU96" s="127"/>
      <c r="AV96" s="127"/>
      <c r="AW96" s="127"/>
      <c r="AX96" s="127"/>
      <c r="AY96" s="127"/>
      <c r="AZ96" s="125">
        <v>9.875</v>
      </c>
      <c r="BA96" s="125">
        <v>12.275</v>
      </c>
      <c r="BB96" s="127"/>
      <c r="BC96" s="127"/>
      <c r="BD96" s="127"/>
      <c r="BE96" s="127"/>
      <c r="BF96" s="127"/>
      <c r="BG96" s="127"/>
      <c r="BH96" s="127"/>
      <c r="BI96" s="125">
        <v>68.319999999999993</v>
      </c>
      <c r="BJ96" s="125">
        <v>102.9</v>
      </c>
      <c r="BK96" s="127"/>
      <c r="BL96" s="127"/>
      <c r="BM96" s="127"/>
      <c r="BN96" s="127"/>
      <c r="BO96" s="127"/>
      <c r="BP96" s="127"/>
      <c r="BQ96" s="127"/>
      <c r="BR96" s="125">
        <v>2173.9699999999998</v>
      </c>
      <c r="BS96" s="125">
        <v>1148.19</v>
      </c>
      <c r="BT96" s="127"/>
      <c r="BU96" s="127"/>
      <c r="BV96" s="127"/>
      <c r="BW96" s="127"/>
      <c r="BX96" s="127"/>
      <c r="BY96" s="127"/>
      <c r="BZ96" s="127"/>
      <c r="CA96" s="9">
        <v>38</v>
      </c>
      <c r="CB96" s="7">
        <v>43770</v>
      </c>
      <c r="CC96" s="9">
        <f>ROUND((CB96-Y96)/30.5,0)</f>
        <v>-1</v>
      </c>
      <c r="CD96" s="9">
        <v>35</v>
      </c>
      <c r="CE96" s="137">
        <v>43809</v>
      </c>
      <c r="CF96" s="128">
        <f>ROUND((CL96-CE96)/30.5,0)</f>
        <v>2</v>
      </c>
      <c r="CG96" s="128"/>
      <c r="CH96" s="59">
        <v>35</v>
      </c>
      <c r="CI96" s="70">
        <v>43809</v>
      </c>
      <c r="CJ96" s="18">
        <v>0</v>
      </c>
      <c r="CK96" s="39">
        <v>31</v>
      </c>
      <c r="CL96" s="40">
        <v>43865</v>
      </c>
      <c r="CM96" s="21">
        <v>2</v>
      </c>
      <c r="CN96" s="41"/>
      <c r="CO96" s="42"/>
      <c r="CP96" s="23"/>
      <c r="CQ96" s="39"/>
      <c r="CR96" s="46"/>
      <c r="CS96" s="24"/>
      <c r="CT96" s="39"/>
      <c r="CU96" s="46"/>
      <c r="CV96" s="29"/>
      <c r="CW96" s="9"/>
      <c r="CX96" s="7"/>
      <c r="CY96" s="9"/>
      <c r="CZ96" s="127">
        <f>(48-CH96)/DP96</f>
        <v>1.4444444444444444</v>
      </c>
      <c r="DA96" s="127">
        <f>(48-CD96)/DP96</f>
        <v>1.4444444444444444</v>
      </c>
      <c r="DB96" s="127">
        <f>(CA96-CD96)/DQ96</f>
        <v>3</v>
      </c>
      <c r="DC96" s="127"/>
      <c r="DD96" s="127">
        <f>((CH96-MIN(CA96,CH96,CK96,CN96,CQ96,CT96,CW96)))/DE96</f>
        <v>2</v>
      </c>
      <c r="DE96" s="9">
        <f>ROUND((MAX(CI96,CL96,CO96,CR96,CU96,CX96)-CI96)/30.5,0)</f>
        <v>2</v>
      </c>
      <c r="DF96" s="127">
        <f>((CA96-MIN(CA96,CH96,CK96,CN96,CQ96,CT96,CW96)))/DG96</f>
        <v>2.3333333333333335</v>
      </c>
      <c r="DG96" s="9">
        <f>ROUND((MAX(CI96,CL96,CO96,CR96,CU96,CX96)-CB96)/30.5,0)</f>
        <v>3</v>
      </c>
      <c r="DH96" s="129">
        <f>DD96-DB96</f>
        <v>-1</v>
      </c>
      <c r="DI96" s="129"/>
      <c r="DJ96" s="129">
        <f>DF96-CZ96</f>
        <v>0.88888888888888906</v>
      </c>
      <c r="DK96" s="9"/>
      <c r="DL96" s="7"/>
      <c r="DM96" s="9"/>
      <c r="DN96" s="7"/>
      <c r="DO96" s="9">
        <f>ROUND((CB96-M96)/30.5,0)</f>
        <v>8</v>
      </c>
      <c r="DP96" s="114">
        <f>ROUND((CI96-M96)/30.5,0)</f>
        <v>9</v>
      </c>
      <c r="DQ96" s="114">
        <f>ROUND((CE96-CB96)/30.5,0)</f>
        <v>1</v>
      </c>
      <c r="DR96" s="131">
        <v>2</v>
      </c>
      <c r="DS96" s="145"/>
      <c r="DT96" s="145"/>
      <c r="DU96" s="145"/>
      <c r="DV96" s="145"/>
      <c r="DW96" s="145"/>
      <c r="DX96" s="145"/>
      <c r="DY96" s="145"/>
      <c r="DZ96" s="145"/>
      <c r="EA96" s="145"/>
      <c r="EB96" s="145"/>
      <c r="EC96" s="145"/>
      <c r="ED96" s="145"/>
      <c r="EE96" s="145"/>
      <c r="EF96" s="136"/>
    </row>
    <row r="97" spans="1:136">
      <c r="A97" s="112">
        <v>2636</v>
      </c>
      <c r="B97" s="153" t="s">
        <v>80</v>
      </c>
      <c r="C97" s="146">
        <v>2775745</v>
      </c>
      <c r="D97" s="115" t="s">
        <v>420</v>
      </c>
      <c r="E97" s="111">
        <v>244</v>
      </c>
      <c r="F97" s="112" t="s">
        <v>313</v>
      </c>
      <c r="G97" s="112">
        <v>1</v>
      </c>
      <c r="H97" s="112" t="s">
        <v>314</v>
      </c>
      <c r="I97" s="112"/>
      <c r="J97" s="113">
        <v>43749</v>
      </c>
      <c r="K97" s="114">
        <v>30</v>
      </c>
      <c r="L97" s="112">
        <v>1</v>
      </c>
      <c r="M97" s="113">
        <v>43405</v>
      </c>
      <c r="N97" s="112">
        <v>2</v>
      </c>
      <c r="O97" s="137">
        <v>43789</v>
      </c>
      <c r="P97" s="5">
        <v>43873</v>
      </c>
      <c r="Q97" s="179"/>
      <c r="R97" s="112"/>
      <c r="S97" s="112"/>
      <c r="T97" s="112"/>
      <c r="U97" s="112"/>
      <c r="V97" s="112"/>
      <c r="W97" s="112"/>
      <c r="X97" s="112"/>
      <c r="Y97" s="180">
        <v>43789</v>
      </c>
      <c r="Z97" s="184">
        <v>43873</v>
      </c>
      <c r="AA97" s="7"/>
      <c r="AB97" s="7"/>
      <c r="AC97" s="7"/>
      <c r="AD97" s="7"/>
      <c r="AE97" s="7"/>
      <c r="AF97" s="7"/>
      <c r="AG97" s="7"/>
      <c r="AH97" s="121">
        <v>3</v>
      </c>
      <c r="AI97" s="124"/>
      <c r="AJ97" s="124"/>
      <c r="AK97" s="124"/>
      <c r="AL97" s="124"/>
      <c r="AM97" s="124"/>
      <c r="AN97" s="124"/>
      <c r="AO97" s="124"/>
      <c r="AP97" s="124"/>
      <c r="AQ97" s="125">
        <v>578.1</v>
      </c>
      <c r="AR97" s="125"/>
      <c r="AS97" s="126"/>
      <c r="AT97" s="126"/>
      <c r="AU97" s="127"/>
      <c r="AV97" s="127"/>
      <c r="AW97" s="127"/>
      <c r="AX97" s="127"/>
      <c r="AY97" s="127"/>
      <c r="AZ97" s="125">
        <v>1.6500000000000001</v>
      </c>
      <c r="BA97" s="125"/>
      <c r="BB97" s="127"/>
      <c r="BC97" s="127"/>
      <c r="BD97" s="127"/>
      <c r="BE97" s="127"/>
      <c r="BF97" s="127"/>
      <c r="BG97" s="127"/>
      <c r="BH97" s="127"/>
      <c r="BI97" s="125">
        <v>24.25</v>
      </c>
      <c r="BJ97" s="125"/>
      <c r="BK97" s="127"/>
      <c r="BL97" s="127"/>
      <c r="BM97" s="127"/>
      <c r="BN97" s="127"/>
      <c r="BO97" s="127"/>
      <c r="BP97" s="127"/>
      <c r="BQ97" s="127"/>
      <c r="BR97" s="125">
        <v>1431.75</v>
      </c>
      <c r="BS97" s="125"/>
      <c r="BT97" s="127"/>
      <c r="BU97" s="127"/>
      <c r="BV97" s="127"/>
      <c r="BW97" s="127"/>
      <c r="BX97" s="127"/>
      <c r="BY97" s="127"/>
      <c r="BZ97" s="127"/>
      <c r="CA97" s="9">
        <v>30</v>
      </c>
      <c r="CB97" s="7">
        <v>43749</v>
      </c>
      <c r="CC97" s="9">
        <f>ROUND((CB97-Y97)/30.5,0)</f>
        <v>-1</v>
      </c>
      <c r="CD97" s="9">
        <v>26</v>
      </c>
      <c r="CE97" s="116">
        <v>43789</v>
      </c>
      <c r="CF97" s="128">
        <f>ROUND((CL97-CE97)/30.5,0)</f>
        <v>3</v>
      </c>
      <c r="CG97" s="128"/>
      <c r="CH97" s="59">
        <v>26</v>
      </c>
      <c r="CI97" s="70">
        <v>43791</v>
      </c>
      <c r="CJ97" s="18">
        <v>0</v>
      </c>
      <c r="CK97" s="39">
        <v>22</v>
      </c>
      <c r="CL97" s="40">
        <v>43872</v>
      </c>
      <c r="CM97" s="21">
        <v>3</v>
      </c>
      <c r="CN97" s="41"/>
      <c r="CO97" s="42"/>
      <c r="CP97" s="23"/>
      <c r="CQ97" s="39"/>
      <c r="CR97" s="46"/>
      <c r="CS97" s="24"/>
      <c r="CT97" s="39"/>
      <c r="CU97" s="46"/>
      <c r="CV97" s="29"/>
      <c r="CW97" s="9"/>
      <c r="CX97" s="7"/>
      <c r="CY97" s="9"/>
      <c r="CZ97" s="127">
        <f>(48-CH97)/DP97</f>
        <v>1.6923076923076923</v>
      </c>
      <c r="DA97" s="127">
        <f>(48-CD97)/DP97</f>
        <v>1.6923076923076923</v>
      </c>
      <c r="DB97" s="127">
        <f>(CA97-CD97)/DQ97</f>
        <v>4</v>
      </c>
      <c r="DC97" s="127"/>
      <c r="DD97" s="127">
        <f>((CH97-MIN(CA97,CH97,CK97,CN97,CQ97,CT97,CW97)))/DE97</f>
        <v>1.3333333333333333</v>
      </c>
      <c r="DE97" s="9">
        <f>ROUND((MAX(CI97,CL97,CO97,CR97,CU97,CX97)-CI97)/30.5,0)</f>
        <v>3</v>
      </c>
      <c r="DF97" s="127">
        <f>((CA97-MIN(CA97,CH97,CK97,CN97,CQ97,CT97,CW97)))/DG97</f>
        <v>2</v>
      </c>
      <c r="DG97" s="9">
        <f>ROUND((MAX(CI97,CL97,CO97,CR97,CU97,CX97)-CB97)/30.5,0)</f>
        <v>4</v>
      </c>
      <c r="DH97" s="129">
        <f>DD97-DB97</f>
        <v>-2.666666666666667</v>
      </c>
      <c r="DI97" s="129"/>
      <c r="DJ97" s="129">
        <f>DF97-CZ97</f>
        <v>0.30769230769230771</v>
      </c>
      <c r="DK97" s="9"/>
      <c r="DL97" s="7"/>
      <c r="DM97" s="9"/>
      <c r="DN97" s="7"/>
      <c r="DO97" s="9">
        <f>ROUND((CB97-M97)/30.5,0)</f>
        <v>11</v>
      </c>
      <c r="DP97" s="114">
        <f>ROUND((CI97-M97)/30.5,0)</f>
        <v>13</v>
      </c>
      <c r="DQ97" s="114">
        <f>ROUND((CE97-CB97)/30.5,0)</f>
        <v>1</v>
      </c>
      <c r="DR97" s="131">
        <v>3</v>
      </c>
      <c r="DS97" s="145"/>
      <c r="DT97" s="145"/>
      <c r="DU97" s="145"/>
      <c r="DV97" s="145"/>
      <c r="DW97" s="145"/>
      <c r="DX97" s="145"/>
      <c r="DY97" s="145"/>
      <c r="DZ97" s="145"/>
      <c r="EA97" s="145"/>
      <c r="EB97" s="145"/>
      <c r="EC97" s="145"/>
      <c r="ED97" s="145"/>
      <c r="EE97" s="145"/>
      <c r="EF97" s="136"/>
    </row>
    <row r="98" spans="1:136">
      <c r="A98" s="112">
        <v>2334</v>
      </c>
      <c r="B98" s="153" t="s">
        <v>81</v>
      </c>
      <c r="C98" s="146">
        <v>2728040</v>
      </c>
      <c r="D98" s="115" t="s">
        <v>422</v>
      </c>
      <c r="E98" s="111">
        <v>190</v>
      </c>
      <c r="F98" s="112" t="s">
        <v>313</v>
      </c>
      <c r="G98" s="112"/>
      <c r="H98" s="112" t="s">
        <v>314</v>
      </c>
      <c r="I98" s="112"/>
      <c r="J98" s="113">
        <v>43356</v>
      </c>
      <c r="K98" s="114">
        <v>34</v>
      </c>
      <c r="L98" s="112">
        <v>0</v>
      </c>
      <c r="M98" s="113">
        <v>42614</v>
      </c>
      <c r="N98" s="112">
        <v>2</v>
      </c>
      <c r="O98" s="137">
        <v>43385</v>
      </c>
      <c r="P98" s="5">
        <v>43613</v>
      </c>
      <c r="Q98" s="179"/>
      <c r="R98" s="112"/>
      <c r="S98" s="112"/>
      <c r="T98" s="112"/>
      <c r="U98" s="112"/>
      <c r="V98" s="112"/>
      <c r="W98" s="112"/>
      <c r="X98" s="112"/>
      <c r="Y98" s="140">
        <v>43385</v>
      </c>
      <c r="Z98" s="140">
        <v>43613</v>
      </c>
      <c r="AA98" s="7"/>
      <c r="AB98" s="7"/>
      <c r="AC98" s="7"/>
      <c r="AD98" s="7"/>
      <c r="AE98" s="7"/>
      <c r="AF98" s="7"/>
      <c r="AG98" s="7"/>
      <c r="AH98" s="121">
        <v>7</v>
      </c>
      <c r="AI98" s="124"/>
      <c r="AJ98" s="121"/>
      <c r="AK98" s="124"/>
      <c r="AL98" s="121"/>
      <c r="AM98" s="121"/>
      <c r="AN98" s="121"/>
      <c r="AO98" s="121"/>
      <c r="AP98" s="121"/>
      <c r="AQ98" s="125">
        <v>853.8</v>
      </c>
      <c r="AR98" s="125">
        <v>1668.1999999999998</v>
      </c>
      <c r="AS98" s="126"/>
      <c r="AT98" s="126"/>
      <c r="AU98" s="127"/>
      <c r="AV98" s="127"/>
      <c r="AW98" s="127"/>
      <c r="AX98" s="127"/>
      <c r="AY98" s="127"/>
      <c r="AZ98" s="125">
        <v>2.1</v>
      </c>
      <c r="BA98" s="125">
        <v>4.67</v>
      </c>
      <c r="BB98" s="127"/>
      <c r="BC98" s="127"/>
      <c r="BD98" s="127"/>
      <c r="BE98" s="127"/>
      <c r="BF98" s="127"/>
      <c r="BG98" s="127"/>
      <c r="BH98" s="127"/>
      <c r="BI98" s="125">
        <v>58.98</v>
      </c>
      <c r="BJ98" s="125">
        <v>88.28</v>
      </c>
      <c r="BK98" s="127"/>
      <c r="BL98" s="127"/>
      <c r="BM98" s="127"/>
      <c r="BN98" s="127"/>
      <c r="BO98" s="127"/>
      <c r="BP98" s="127"/>
      <c r="BQ98" s="127"/>
      <c r="BR98" s="125">
        <v>954.41</v>
      </c>
      <c r="BS98" s="125">
        <v>831.47</v>
      </c>
      <c r="BT98" s="127"/>
      <c r="BU98" s="127"/>
      <c r="BV98" s="127"/>
      <c r="BW98" s="127"/>
      <c r="BX98" s="127"/>
      <c r="BY98" s="127"/>
      <c r="BZ98" s="127"/>
      <c r="CA98" s="9">
        <v>34</v>
      </c>
      <c r="CB98" s="7">
        <v>43356</v>
      </c>
      <c r="CC98" s="9">
        <f>ROUND((CB98-Y98)/30.5,0)</f>
        <v>-1</v>
      </c>
      <c r="CD98" s="9">
        <v>33</v>
      </c>
      <c r="CE98" s="137">
        <v>43385</v>
      </c>
      <c r="CF98" s="128">
        <f>ROUND((CL98-CE98)/30.5,0)</f>
        <v>7</v>
      </c>
      <c r="CG98" s="128"/>
      <c r="CH98" s="59">
        <v>33</v>
      </c>
      <c r="CI98" s="69">
        <v>43383</v>
      </c>
      <c r="CJ98" s="18">
        <v>0</v>
      </c>
      <c r="CK98" s="59">
        <v>29</v>
      </c>
      <c r="CL98" s="40">
        <v>43586</v>
      </c>
      <c r="CM98" s="21">
        <v>7</v>
      </c>
      <c r="CN98" s="71">
        <v>22</v>
      </c>
      <c r="CO98" s="72">
        <v>43837</v>
      </c>
      <c r="CP98" s="23">
        <v>15</v>
      </c>
      <c r="CQ98" s="39"/>
      <c r="CR98" s="46"/>
      <c r="CS98" s="24"/>
      <c r="CT98" s="39"/>
      <c r="CU98" s="46"/>
      <c r="CV98" s="29"/>
      <c r="CW98" s="9"/>
      <c r="CX98" s="7"/>
      <c r="CY98" s="9"/>
      <c r="CZ98" s="127">
        <f>(48-CH98)/DP98</f>
        <v>0.6</v>
      </c>
      <c r="DA98" s="127">
        <f>(48-CD98)/DP98</f>
        <v>0.6</v>
      </c>
      <c r="DB98" s="127">
        <f>(CA98-CD98)/DQ98</f>
        <v>1</v>
      </c>
      <c r="DC98" s="127"/>
      <c r="DD98" s="127">
        <f>((CH98-MIN(CA98,CH98,CK98,CN98,CQ98,CT98,CW98)))/DE98</f>
        <v>0.73333333333333328</v>
      </c>
      <c r="DE98" s="9">
        <f>ROUND((MAX(CI98,CL98,CO98,CR98,CU98,CX98)-CI98)/30.5,0)</f>
        <v>15</v>
      </c>
      <c r="DF98" s="127">
        <f>((CA98-MIN(CA98,CH98,CK98,CN98,CQ98,CT98,CW98)))/DG98</f>
        <v>0.75</v>
      </c>
      <c r="DG98" s="9">
        <f>ROUND((MAX(CI98,CL98,CO98,CR98,CU98,CX98)-CB98)/30.5,0)</f>
        <v>16</v>
      </c>
      <c r="DH98" s="129">
        <f>DD98-DB98</f>
        <v>-0.26666666666666672</v>
      </c>
      <c r="DI98" s="129"/>
      <c r="DJ98" s="129">
        <f>DF98-CZ98</f>
        <v>0.15000000000000002</v>
      </c>
      <c r="DK98" s="9"/>
      <c r="DL98" s="7"/>
      <c r="DM98" s="9"/>
      <c r="DN98" s="7"/>
      <c r="DO98" s="9">
        <f>ROUND((CB98-M98)/30.5,0)</f>
        <v>24</v>
      </c>
      <c r="DP98" s="114">
        <f>ROUND((CI98-M98)/30.5,0)</f>
        <v>25</v>
      </c>
      <c r="DQ98" s="114">
        <f>ROUND((CE98-CB98)/30.5,0)</f>
        <v>1</v>
      </c>
      <c r="DR98" s="131">
        <v>7</v>
      </c>
      <c r="DS98" s="145"/>
      <c r="DT98" s="145"/>
      <c r="DU98" s="145"/>
      <c r="DV98" s="145"/>
      <c r="DW98" s="145"/>
      <c r="DX98" s="145"/>
      <c r="DY98" s="145"/>
      <c r="DZ98" s="145"/>
      <c r="EA98" s="145"/>
      <c r="EB98" s="145"/>
      <c r="EC98" s="145"/>
      <c r="ED98" s="145"/>
      <c r="EE98" s="145"/>
      <c r="EF98" s="156"/>
    </row>
  </sheetData>
  <autoFilter ref="A1:EF98">
    <sortState ref="A2:EF98">
      <sortCondition descending="1" ref="N1:N98"/>
    </sortState>
  </autoFilter>
  <phoneticPr fontId="2" type="noConversion"/>
  <conditionalFormatting sqref="DR1:DR98">
    <cfRule type="cellIs" dxfId="3" priority="1" operator="greaterThanOrEqual">
      <formula>9</formula>
    </cfRule>
  </conditionalFormatting>
  <conditionalFormatting sqref="DU1 DU2:DV98">
    <cfRule type="cellIs" dxfId="2" priority="2" operator="lessThanOrEqual">
      <formula>5</formula>
    </cfRule>
  </conditionalFormatting>
  <conditionalFormatting sqref="DU1 DU2:DV98">
    <cfRule type="cellIs" dxfId="1" priority="3" operator="greaterThanOrEqual">
      <formula>8</formula>
    </cfRule>
  </conditionalFormatting>
  <conditionalFormatting sqref="DU1 DR1:DR98 DU2:DV98">
    <cfRule type="cellIs" dxfId="0" priority="4" operator="greaterThan">
      <formula>5</formula>
    </cfRule>
  </conditionalFormatting>
  <conditionalFormatting sqref="DY2:DZ6">
    <cfRule type="colorScale" priority="5">
      <colorScale>
        <cfvo type="min"/>
        <cfvo type="formula" val="3"/>
        <cfvo type="max"/>
        <color rgb="FF57BB8A"/>
        <color rgb="FFABDDC5"/>
        <color rgb="FFFFFFFF"/>
      </colorScale>
    </cfRule>
  </conditionalFormatting>
  <conditionalFormatting sqref="DT1:DT98">
    <cfRule type="colorScale" priority="6">
      <colorScale>
        <cfvo type="min"/>
        <cfvo type="max"/>
        <color rgb="FFFCFCFF"/>
        <color rgb="FF63BE7B"/>
      </colorScale>
    </cfRule>
  </conditionalFormatting>
  <conditionalFormatting sqref="DR1:DR98">
    <cfRule type="colorScale" priority="7">
      <colorScale>
        <cfvo type="min"/>
        <cfvo type="formula" val="2"/>
        <cfvo type="max"/>
        <color rgb="FFFFFFFF"/>
        <color rgb="FFABDDC5"/>
        <color rgb="FF57BB8A"/>
      </colorScale>
    </cfRule>
  </conditionalFormatting>
  <conditionalFormatting sqref="DS1:DS98">
    <cfRule type="colorScale" priority="8">
      <colorScale>
        <cfvo type="min"/>
        <cfvo type="formula" val="3"/>
        <cfvo type="max"/>
        <color rgb="FF57BB8A"/>
        <color rgb="FFABDDC5"/>
        <color rgb="FFFFFFFF"/>
      </colorScale>
    </cfRule>
  </conditionalFormatting>
  <conditionalFormatting sqref="DU2:DV98 DU1">
    <cfRule type="colorScale" priority="9">
      <colorScale>
        <cfvo type="min"/>
        <cfvo type="formula" val="3"/>
        <cfvo type="max"/>
        <color rgb="FF57BB8A"/>
        <color rgb="FFABDDC5"/>
        <color rgb="FFFFFFFF"/>
      </colorScale>
    </cfRule>
  </conditionalFormatting>
  <conditionalFormatting sqref="DW1:DX98">
    <cfRule type="colorScale" priority="10">
      <colorScale>
        <cfvo type="min"/>
        <cfvo type="formula" val="3"/>
        <cfvo type="max"/>
        <color rgb="FF57BB8A"/>
        <color rgb="FFABDDC5"/>
        <color rgb="FFFFFFF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7"/>
  <sheetViews>
    <sheetView workbookViewId="0">
      <selection activeCell="I2" sqref="I2"/>
    </sheetView>
  </sheetViews>
  <sheetFormatPr defaultRowHeight="16.5"/>
  <cols>
    <col min="1" max="1" width="5.625" bestFit="1" customWidth="1"/>
    <col min="2" max="2" width="8" bestFit="1" customWidth="1"/>
    <col min="3" max="12" width="9.75" bestFit="1" customWidth="1"/>
    <col min="13" max="13" width="17.375" bestFit="1" customWidth="1"/>
    <col min="14" max="14" width="16.125" bestFit="1" customWidth="1"/>
    <col min="15" max="15" width="16.75" bestFit="1" customWidth="1"/>
    <col min="16" max="21" width="16.375" bestFit="1" customWidth="1"/>
    <col min="22" max="22" width="8.75" bestFit="1" customWidth="1"/>
    <col min="23" max="23" width="7.625" bestFit="1" customWidth="1"/>
    <col min="24" max="24" width="8.25" bestFit="1" customWidth="1"/>
    <col min="25" max="30" width="7.875" bestFit="1" customWidth="1"/>
    <col min="31" max="31" width="9.75" bestFit="1" customWidth="1"/>
    <col min="32" max="32" width="8.625" bestFit="1" customWidth="1"/>
    <col min="33" max="33" width="9.25" bestFit="1" customWidth="1"/>
    <col min="34" max="39" width="8.875" bestFit="1" customWidth="1"/>
    <col min="40" max="40" width="8.75" bestFit="1" customWidth="1"/>
    <col min="41" max="41" width="7.625" bestFit="1" customWidth="1"/>
    <col min="42" max="42" width="8.25" bestFit="1" customWidth="1"/>
    <col min="43" max="48" width="7.875" bestFit="1" customWidth="1"/>
    <col min="49" max="49" width="11.125" bestFit="1" customWidth="1"/>
    <col min="50" max="50" width="9.875" bestFit="1" customWidth="1"/>
    <col min="51" max="51" width="10.5" bestFit="1" customWidth="1"/>
    <col min="52" max="57" width="10.125" bestFit="1" customWidth="1"/>
    <col min="58" max="58" width="12.625" bestFit="1" customWidth="1"/>
    <col min="59" max="59" width="10.375" bestFit="1" customWidth="1"/>
    <col min="60" max="60" width="11.5" bestFit="1" customWidth="1"/>
    <col min="61" max="61" width="9.75" bestFit="1" customWidth="1"/>
    <col min="62" max="62" width="18.5" bestFit="1" customWidth="1"/>
    <col min="63" max="63" width="19.125" bestFit="1" customWidth="1"/>
    <col min="64" max="64" width="10.25" bestFit="1" customWidth="1"/>
    <col min="65" max="65" width="10.875" bestFit="1" customWidth="1"/>
    <col min="66" max="66" width="11" bestFit="1" customWidth="1"/>
    <col min="67" max="67" width="11.125" bestFit="1" customWidth="1"/>
    <col min="68" max="68" width="10.5" bestFit="1" customWidth="1"/>
    <col min="69" max="69" width="11.125" bestFit="1" customWidth="1"/>
    <col min="70" max="70" width="10.5" bestFit="1" customWidth="1"/>
    <col min="71" max="71" width="11.125" bestFit="1" customWidth="1"/>
    <col min="72" max="72" width="10.5" bestFit="1" customWidth="1"/>
    <col min="73" max="73" width="10.875" bestFit="1" customWidth="1"/>
    <col min="74" max="74" width="10.5" bestFit="1" customWidth="1"/>
    <col min="75" max="75" width="10.875" bestFit="1" customWidth="1"/>
  </cols>
  <sheetData>
    <row r="1" spans="1:75">
      <c r="A1" s="1" t="s">
        <v>0</v>
      </c>
      <c r="B1" s="1" t="s">
        <v>204</v>
      </c>
      <c r="C1" s="4" t="s">
        <v>191</v>
      </c>
      <c r="D1" s="4" t="s">
        <v>190</v>
      </c>
      <c r="E1" s="4" t="s">
        <v>188</v>
      </c>
      <c r="F1" s="94" t="s">
        <v>187</v>
      </c>
      <c r="G1" s="94" t="s">
        <v>205</v>
      </c>
      <c r="H1" s="94" t="s">
        <v>206</v>
      </c>
      <c r="I1" s="94" t="s">
        <v>207</v>
      </c>
      <c r="J1" s="94" t="s">
        <v>208</v>
      </c>
      <c r="K1" s="94" t="s">
        <v>209</v>
      </c>
      <c r="L1" s="94" t="s">
        <v>210</v>
      </c>
      <c r="M1" s="10" t="s">
        <v>211</v>
      </c>
      <c r="N1" s="94" t="s">
        <v>212</v>
      </c>
      <c r="O1" s="10" t="s">
        <v>213</v>
      </c>
      <c r="P1" s="10" t="s">
        <v>214</v>
      </c>
      <c r="Q1" s="10" t="s">
        <v>215</v>
      </c>
      <c r="R1" s="10" t="s">
        <v>216</v>
      </c>
      <c r="S1" s="10" t="s">
        <v>217</v>
      </c>
      <c r="T1" s="10" t="s">
        <v>218</v>
      </c>
      <c r="U1" s="10" t="s">
        <v>219</v>
      </c>
      <c r="V1" s="96" t="s">
        <v>229</v>
      </c>
      <c r="W1" s="96" t="s">
        <v>230</v>
      </c>
      <c r="X1" s="96" t="s">
        <v>231</v>
      </c>
      <c r="Y1" s="96" t="s">
        <v>232</v>
      </c>
      <c r="Z1" s="96" t="s">
        <v>233</v>
      </c>
      <c r="AA1" s="96" t="s">
        <v>234</v>
      </c>
      <c r="AB1" s="96" t="s">
        <v>235</v>
      </c>
      <c r="AC1" s="96" t="s">
        <v>236</v>
      </c>
      <c r="AD1" s="96" t="s">
        <v>237</v>
      </c>
      <c r="AE1" s="96" t="s">
        <v>238</v>
      </c>
      <c r="AF1" s="96" t="s">
        <v>239</v>
      </c>
      <c r="AG1" s="96" t="s">
        <v>240</v>
      </c>
      <c r="AH1" s="96" t="s">
        <v>241</v>
      </c>
      <c r="AI1" s="96" t="s">
        <v>242</v>
      </c>
      <c r="AJ1" s="96" t="s">
        <v>243</v>
      </c>
      <c r="AK1" s="96" t="s">
        <v>244</v>
      </c>
      <c r="AL1" s="96" t="s">
        <v>245</v>
      </c>
      <c r="AM1" s="96" t="s">
        <v>246</v>
      </c>
      <c r="AN1" s="96" t="s">
        <v>247</v>
      </c>
      <c r="AO1" s="96" t="s">
        <v>248</v>
      </c>
      <c r="AP1" s="96" t="s">
        <v>249</v>
      </c>
      <c r="AQ1" s="96" t="s">
        <v>250</v>
      </c>
      <c r="AR1" s="96" t="s">
        <v>251</v>
      </c>
      <c r="AS1" s="96" t="s">
        <v>252</v>
      </c>
      <c r="AT1" s="96" t="s">
        <v>253</v>
      </c>
      <c r="AU1" s="96" t="s">
        <v>254</v>
      </c>
      <c r="AV1" s="96" t="s">
        <v>255</v>
      </c>
      <c r="AW1" s="96" t="s">
        <v>256</v>
      </c>
      <c r="AX1" s="96" t="s">
        <v>257</v>
      </c>
      <c r="AY1" s="96" t="s">
        <v>258</v>
      </c>
      <c r="AZ1" s="96" t="s">
        <v>259</v>
      </c>
      <c r="BA1" s="96" t="s">
        <v>260</v>
      </c>
      <c r="BB1" s="96" t="s">
        <v>261</v>
      </c>
      <c r="BC1" s="96" t="s">
        <v>262</v>
      </c>
      <c r="BD1" s="96" t="s">
        <v>263</v>
      </c>
      <c r="BE1" s="96" t="s">
        <v>264</v>
      </c>
      <c r="BF1" s="13" t="s">
        <v>265</v>
      </c>
      <c r="BG1" s="14" t="s">
        <v>266</v>
      </c>
      <c r="BH1" s="13" t="s">
        <v>268</v>
      </c>
      <c r="BI1" s="4" t="s">
        <v>269</v>
      </c>
      <c r="BJ1" s="97" t="s">
        <v>270</v>
      </c>
      <c r="BK1" s="97" t="s">
        <v>271</v>
      </c>
      <c r="BL1" s="13" t="s">
        <v>174</v>
      </c>
      <c r="BM1" s="14" t="s">
        <v>175</v>
      </c>
      <c r="BN1" s="13" t="s">
        <v>176</v>
      </c>
      <c r="BO1" s="14" t="s">
        <v>177</v>
      </c>
      <c r="BP1" s="13" t="s">
        <v>178</v>
      </c>
      <c r="BQ1" s="14" t="s">
        <v>179</v>
      </c>
      <c r="BR1" s="13" t="s">
        <v>180</v>
      </c>
      <c r="BS1" s="14" t="s">
        <v>181</v>
      </c>
      <c r="BT1" s="13" t="s">
        <v>182</v>
      </c>
      <c r="BU1" s="14" t="s">
        <v>183</v>
      </c>
      <c r="BV1" s="13" t="s">
        <v>184</v>
      </c>
      <c r="BW1" s="14" t="s">
        <v>185</v>
      </c>
    </row>
    <row r="2" spans="1:75">
      <c r="A2" s="112">
        <v>1154</v>
      </c>
      <c r="B2" s="112">
        <v>10</v>
      </c>
      <c r="C2" s="116">
        <v>42089</v>
      </c>
      <c r="D2" s="116">
        <v>42115</v>
      </c>
      <c r="E2" s="116">
        <v>42369</v>
      </c>
      <c r="F2" s="116">
        <v>42516</v>
      </c>
      <c r="G2" s="116">
        <v>42824</v>
      </c>
      <c r="H2" s="116">
        <v>42985</v>
      </c>
      <c r="I2" s="116">
        <v>43151</v>
      </c>
      <c r="J2" s="116">
        <v>43342</v>
      </c>
      <c r="K2" s="116">
        <v>43517</v>
      </c>
      <c r="L2" s="116">
        <v>43698</v>
      </c>
      <c r="M2" s="116" t="s">
        <v>424</v>
      </c>
      <c r="N2" s="116">
        <v>42823</v>
      </c>
      <c r="O2" s="116">
        <v>42984</v>
      </c>
      <c r="P2" s="116">
        <v>43150</v>
      </c>
      <c r="Q2" s="116"/>
      <c r="R2" s="116"/>
      <c r="S2" s="116"/>
      <c r="T2" s="116"/>
      <c r="U2" s="116"/>
      <c r="V2" s="190">
        <v>720.5</v>
      </c>
      <c r="W2" s="190"/>
      <c r="X2" s="190"/>
      <c r="Y2" s="190"/>
      <c r="Z2" s="190"/>
      <c r="AA2" s="190">
        <v>915.40000000000009</v>
      </c>
      <c r="AB2" s="190">
        <v>1164</v>
      </c>
      <c r="AC2" s="190">
        <v>1201.0999999999999</v>
      </c>
      <c r="AD2" s="190"/>
      <c r="AE2" s="190">
        <v>2.1</v>
      </c>
      <c r="AF2" s="190"/>
      <c r="AG2" s="190"/>
      <c r="AH2" s="190"/>
      <c r="AI2" s="190"/>
      <c r="AJ2" s="190">
        <v>3.46</v>
      </c>
      <c r="AK2" s="190">
        <v>2.6</v>
      </c>
      <c r="AL2" s="190">
        <v>2.64</v>
      </c>
      <c r="AM2" s="190"/>
      <c r="AN2" s="190">
        <v>34.619999999999997</v>
      </c>
      <c r="AO2" s="190"/>
      <c r="AP2" s="190"/>
      <c r="AQ2" s="190"/>
      <c r="AR2" s="190"/>
      <c r="AS2" s="190">
        <v>94.67</v>
      </c>
      <c r="AT2" s="190">
        <v>48.17</v>
      </c>
      <c r="AU2" s="190">
        <v>52.22</v>
      </c>
      <c r="AV2" s="190"/>
      <c r="AW2" s="190">
        <v>1015.08</v>
      </c>
      <c r="AX2" s="190"/>
      <c r="AY2" s="190"/>
      <c r="AZ2" s="190"/>
      <c r="BA2" s="190"/>
      <c r="BB2" s="190">
        <v>1113.72</v>
      </c>
      <c r="BC2" s="190">
        <v>817.8</v>
      </c>
      <c r="BD2" s="190">
        <v>515.89</v>
      </c>
      <c r="BE2" s="190"/>
      <c r="BF2" s="9">
        <v>38</v>
      </c>
      <c r="BG2" s="7">
        <v>41689</v>
      </c>
      <c r="BH2" s="9">
        <v>29</v>
      </c>
      <c r="BI2" s="116">
        <v>42089</v>
      </c>
      <c r="BJ2" s="128">
        <f t="shared" ref="BJ2:BJ17" si="0">ROUND((BO2-BI2)/30.5,0)</f>
        <v>4</v>
      </c>
      <c r="BK2" s="128">
        <f t="shared" ref="BK2:BK7" si="1">ROUND((BQ2-BI2)/30.5,0)</f>
        <v>5</v>
      </c>
      <c r="BL2" s="9">
        <v>29</v>
      </c>
      <c r="BM2" s="116">
        <v>42089</v>
      </c>
      <c r="BN2" s="9">
        <v>25</v>
      </c>
      <c r="BO2" s="116">
        <v>42198</v>
      </c>
      <c r="BP2" s="9">
        <v>25</v>
      </c>
      <c r="BQ2" s="116">
        <v>42254</v>
      </c>
      <c r="BR2" s="9">
        <v>21</v>
      </c>
      <c r="BS2" s="116">
        <v>42464</v>
      </c>
      <c r="BT2" s="9">
        <v>18</v>
      </c>
      <c r="BU2" s="116">
        <v>42779</v>
      </c>
      <c r="BV2" s="9">
        <v>18</v>
      </c>
      <c r="BW2" s="116">
        <v>43108</v>
      </c>
    </row>
    <row r="3" spans="1:75">
      <c r="A3" s="112">
        <v>2131</v>
      </c>
      <c r="B3" s="112">
        <v>6</v>
      </c>
      <c r="C3" s="116">
        <v>43097</v>
      </c>
      <c r="D3" s="116">
        <v>43123</v>
      </c>
      <c r="E3" s="116">
        <v>43300</v>
      </c>
      <c r="F3" s="116">
        <v>43326</v>
      </c>
      <c r="G3" s="116">
        <v>43497</v>
      </c>
      <c r="H3" s="116">
        <v>43523</v>
      </c>
      <c r="I3" s="116"/>
      <c r="J3" s="116"/>
      <c r="K3" s="116"/>
      <c r="L3" s="116"/>
      <c r="M3" s="116" t="s">
        <v>97</v>
      </c>
      <c r="N3" s="116" t="s">
        <v>98</v>
      </c>
      <c r="O3" s="116">
        <v>43300</v>
      </c>
      <c r="P3" s="116">
        <v>43326</v>
      </c>
      <c r="Q3" s="116"/>
      <c r="R3" s="116"/>
      <c r="S3" s="116"/>
      <c r="T3" s="116"/>
      <c r="U3" s="116"/>
      <c r="V3" s="190">
        <v>1659.5</v>
      </c>
      <c r="W3" s="190">
        <v>2428.1</v>
      </c>
      <c r="X3" s="190">
        <v>1664.5</v>
      </c>
      <c r="Y3" s="190">
        <v>2113.8999999999996</v>
      </c>
      <c r="Z3" s="190"/>
      <c r="AA3" s="190"/>
      <c r="AB3" s="190"/>
      <c r="AC3" s="190"/>
      <c r="AD3" s="190"/>
      <c r="AE3" s="190">
        <v>5.0199999999999996</v>
      </c>
      <c r="AF3" s="190">
        <v>4.1399999999999997</v>
      </c>
      <c r="AG3" s="190">
        <v>3.24</v>
      </c>
      <c r="AH3" s="190">
        <v>13.27</v>
      </c>
      <c r="AI3" s="190"/>
      <c r="AJ3" s="190"/>
      <c r="AK3" s="190"/>
      <c r="AL3" s="190"/>
      <c r="AM3" s="190"/>
      <c r="AN3" s="190">
        <v>68.510000000000005</v>
      </c>
      <c r="AO3" s="190">
        <v>45.89</v>
      </c>
      <c r="AP3" s="190">
        <v>79.08</v>
      </c>
      <c r="AQ3" s="190">
        <v>36.65</v>
      </c>
      <c r="AR3" s="190"/>
      <c r="AS3" s="190"/>
      <c r="AT3" s="190"/>
      <c r="AU3" s="190"/>
      <c r="AV3" s="190"/>
      <c r="AW3" s="190">
        <v>1257.49</v>
      </c>
      <c r="AX3" s="190">
        <v>1119.47</v>
      </c>
      <c r="AY3" s="190">
        <v>1159.5899999999999</v>
      </c>
      <c r="AZ3" s="190">
        <v>1154</v>
      </c>
      <c r="BA3" s="190"/>
      <c r="BB3" s="190"/>
      <c r="BC3" s="190"/>
      <c r="BD3" s="190"/>
      <c r="BE3" s="190"/>
      <c r="BF3" s="9">
        <v>35</v>
      </c>
      <c r="BG3" s="7">
        <v>43068</v>
      </c>
      <c r="BH3" s="9">
        <v>32</v>
      </c>
      <c r="BI3" s="137">
        <v>43097</v>
      </c>
      <c r="BJ3" s="128">
        <f t="shared" si="0"/>
        <v>5</v>
      </c>
      <c r="BK3" s="128">
        <f t="shared" si="1"/>
        <v>12</v>
      </c>
      <c r="BL3" s="9">
        <v>32</v>
      </c>
      <c r="BM3" s="116">
        <v>43097</v>
      </c>
      <c r="BN3" s="9">
        <v>29</v>
      </c>
      <c r="BO3" s="116">
        <v>43258</v>
      </c>
      <c r="BP3" s="9">
        <v>22</v>
      </c>
      <c r="BQ3" s="116">
        <v>43469</v>
      </c>
      <c r="BR3" s="9"/>
      <c r="BS3" s="116"/>
      <c r="BT3" s="9"/>
      <c r="BU3" s="116"/>
      <c r="BV3" s="9"/>
      <c r="BW3" s="116"/>
    </row>
    <row r="4" spans="1:75">
      <c r="A4" s="107">
        <v>2287</v>
      </c>
      <c r="B4" s="112">
        <v>9</v>
      </c>
      <c r="C4" s="116">
        <v>43321</v>
      </c>
      <c r="D4" s="116">
        <v>43347</v>
      </c>
      <c r="E4" s="116">
        <v>43462</v>
      </c>
      <c r="F4" s="116">
        <v>43488</v>
      </c>
      <c r="G4" s="116">
        <v>43587</v>
      </c>
      <c r="H4" s="116">
        <v>43613</v>
      </c>
      <c r="I4" s="116">
        <v>43698</v>
      </c>
      <c r="J4" s="116">
        <v>43748</v>
      </c>
      <c r="K4" s="116">
        <v>43795</v>
      </c>
      <c r="L4" s="116"/>
      <c r="M4" s="116">
        <v>43321</v>
      </c>
      <c r="N4" s="116">
        <v>43347</v>
      </c>
      <c r="O4" s="116">
        <v>43462</v>
      </c>
      <c r="P4" s="116">
        <v>43488</v>
      </c>
      <c r="Q4" s="116">
        <v>43587</v>
      </c>
      <c r="R4" s="116">
        <v>43613</v>
      </c>
      <c r="S4" s="116">
        <v>43698</v>
      </c>
      <c r="T4" s="116">
        <v>43748</v>
      </c>
      <c r="U4" s="116">
        <v>43795</v>
      </c>
      <c r="V4" s="190">
        <v>927.3</v>
      </c>
      <c r="W4" s="190">
        <v>940.39</v>
      </c>
      <c r="X4" s="190">
        <v>1353.6000000000001</v>
      </c>
      <c r="Y4" s="190">
        <v>1982.86</v>
      </c>
      <c r="Z4" s="190">
        <v>1211.4299999999998</v>
      </c>
      <c r="AA4" s="190">
        <v>1216.27</v>
      </c>
      <c r="AB4" s="190">
        <v>1135.75</v>
      </c>
      <c r="AC4" s="190">
        <v>1184.92</v>
      </c>
      <c r="AD4" s="190">
        <v>749.4</v>
      </c>
      <c r="AE4" s="190">
        <v>2.625</v>
      </c>
      <c r="AF4" s="190">
        <v>14.6</v>
      </c>
      <c r="AG4" s="190">
        <v>7.625</v>
      </c>
      <c r="AH4" s="190">
        <v>20.274999999999999</v>
      </c>
      <c r="AI4" s="190">
        <v>6.15</v>
      </c>
      <c r="AJ4" s="190">
        <v>7.8249999999999993</v>
      </c>
      <c r="AK4" s="190">
        <v>3.5249999999999999</v>
      </c>
      <c r="AL4" s="190">
        <v>3.9750000000000001</v>
      </c>
      <c r="AM4" s="190">
        <v>4.8499999999999996</v>
      </c>
      <c r="AN4" s="190">
        <v>38.51</v>
      </c>
      <c r="AO4" s="190">
        <v>34.630000000000003</v>
      </c>
      <c r="AP4" s="190">
        <v>39.880000000000003</v>
      </c>
      <c r="AQ4" s="190">
        <v>41.75</v>
      </c>
      <c r="AR4" s="190">
        <v>33.39</v>
      </c>
      <c r="AS4" s="190">
        <v>35.409999999999997</v>
      </c>
      <c r="AT4" s="190">
        <v>29.57</v>
      </c>
      <c r="AU4" s="190">
        <v>45</v>
      </c>
      <c r="AV4" s="190">
        <v>37.86</v>
      </c>
      <c r="AW4" s="190">
        <v>1193.3</v>
      </c>
      <c r="AX4" s="190">
        <v>480.87</v>
      </c>
      <c r="AY4" s="190">
        <v>794.37</v>
      </c>
      <c r="AZ4" s="190">
        <v>761.83</v>
      </c>
      <c r="BA4" s="190">
        <v>899.06</v>
      </c>
      <c r="BB4" s="190">
        <v>566.99</v>
      </c>
      <c r="BC4" s="190">
        <v>895.88</v>
      </c>
      <c r="BD4" s="190">
        <v>659.2</v>
      </c>
      <c r="BE4" s="190">
        <v>536.16999999999996</v>
      </c>
      <c r="BF4" s="9">
        <v>41</v>
      </c>
      <c r="BG4" s="7">
        <v>43293</v>
      </c>
      <c r="BH4" s="9">
        <v>40</v>
      </c>
      <c r="BI4" s="137">
        <v>43321</v>
      </c>
      <c r="BJ4" s="128">
        <f t="shared" si="0"/>
        <v>1</v>
      </c>
      <c r="BK4" s="128">
        <f t="shared" si="1"/>
        <v>5</v>
      </c>
      <c r="BL4" s="9">
        <v>40</v>
      </c>
      <c r="BM4" s="116">
        <v>43321</v>
      </c>
      <c r="BN4" s="9">
        <v>38</v>
      </c>
      <c r="BO4" s="116">
        <v>43347</v>
      </c>
      <c r="BP4" s="9">
        <v>31</v>
      </c>
      <c r="BQ4" s="116">
        <v>43462</v>
      </c>
      <c r="BR4" s="9">
        <v>32</v>
      </c>
      <c r="BS4" s="116">
        <v>43488</v>
      </c>
      <c r="BT4" s="9">
        <v>25</v>
      </c>
      <c r="BU4" s="116">
        <v>43587</v>
      </c>
      <c r="BV4" s="9">
        <v>16</v>
      </c>
      <c r="BW4" s="116">
        <v>43698</v>
      </c>
    </row>
    <row r="5" spans="1:75">
      <c r="A5" s="107">
        <v>2081</v>
      </c>
      <c r="B5" s="112">
        <v>6</v>
      </c>
      <c r="C5" s="116">
        <v>43035</v>
      </c>
      <c r="D5" s="116">
        <v>43061</v>
      </c>
      <c r="E5" s="116">
        <v>43517</v>
      </c>
      <c r="F5" s="116">
        <v>43543</v>
      </c>
      <c r="G5" s="116">
        <v>43781</v>
      </c>
      <c r="H5" s="116">
        <v>43872</v>
      </c>
      <c r="I5" s="116"/>
      <c r="J5" s="116"/>
      <c r="K5" s="116"/>
      <c r="L5" s="116"/>
      <c r="M5" s="116">
        <v>43035</v>
      </c>
      <c r="N5" s="116">
        <v>43061</v>
      </c>
      <c r="O5" s="116">
        <v>43517</v>
      </c>
      <c r="P5" s="116">
        <v>43543</v>
      </c>
      <c r="Q5" s="116">
        <v>43781</v>
      </c>
      <c r="R5" s="116"/>
      <c r="S5" s="116"/>
      <c r="T5" s="116"/>
      <c r="U5" s="116"/>
      <c r="V5" s="190">
        <v>946.59999999999991</v>
      </c>
      <c r="W5" s="190">
        <v>2068.3000000000002</v>
      </c>
      <c r="X5" s="190">
        <v>833.1</v>
      </c>
      <c r="Y5" s="190">
        <v>1014.7</v>
      </c>
      <c r="Z5" s="190">
        <v>758.6</v>
      </c>
      <c r="AA5" s="190"/>
      <c r="AB5" s="190"/>
      <c r="AC5" s="190"/>
      <c r="AD5" s="190"/>
      <c r="AE5" s="190">
        <v>3.95</v>
      </c>
      <c r="AF5" s="190">
        <v>4.8499999999999996</v>
      </c>
      <c r="AG5" s="190">
        <v>2.125</v>
      </c>
      <c r="AH5" s="190">
        <v>6.15</v>
      </c>
      <c r="AI5" s="190">
        <v>2.125</v>
      </c>
      <c r="AJ5" s="190"/>
      <c r="AK5" s="190"/>
      <c r="AL5" s="190"/>
      <c r="AM5" s="190"/>
      <c r="AN5" s="190">
        <v>39.04</v>
      </c>
      <c r="AO5" s="190">
        <v>38.4</v>
      </c>
      <c r="AP5" s="190">
        <v>33.93</v>
      </c>
      <c r="AQ5" s="190">
        <v>26.25</v>
      </c>
      <c r="AR5" s="190">
        <v>24.45</v>
      </c>
      <c r="AS5" s="190"/>
      <c r="AT5" s="190"/>
      <c r="AU5" s="190"/>
      <c r="AV5" s="190"/>
      <c r="AW5" s="190">
        <v>932.62</v>
      </c>
      <c r="AX5" s="190">
        <v>608.23</v>
      </c>
      <c r="AY5" s="190">
        <v>716.14</v>
      </c>
      <c r="AZ5" s="190">
        <v>272.51</v>
      </c>
      <c r="BA5" s="190">
        <v>278.89999999999998</v>
      </c>
      <c r="BB5" s="190"/>
      <c r="BC5" s="190"/>
      <c r="BD5" s="190"/>
      <c r="BE5" s="190"/>
      <c r="BF5" s="9">
        <v>32</v>
      </c>
      <c r="BG5" s="7">
        <v>43006</v>
      </c>
      <c r="BH5" s="9">
        <v>31</v>
      </c>
      <c r="BI5" s="137">
        <v>43035</v>
      </c>
      <c r="BJ5" s="128">
        <f t="shared" si="0"/>
        <v>1</v>
      </c>
      <c r="BK5" s="128">
        <f t="shared" si="1"/>
        <v>6</v>
      </c>
      <c r="BL5" s="9">
        <v>31</v>
      </c>
      <c r="BM5" s="116">
        <v>43035</v>
      </c>
      <c r="BN5" s="9">
        <v>31</v>
      </c>
      <c r="BO5" s="116">
        <v>43061</v>
      </c>
      <c r="BP5" s="9">
        <v>24</v>
      </c>
      <c r="BQ5" s="116">
        <v>43221</v>
      </c>
      <c r="BR5" s="9">
        <v>24</v>
      </c>
      <c r="BS5" s="116">
        <v>43517</v>
      </c>
      <c r="BT5" s="9">
        <v>24</v>
      </c>
      <c r="BU5" s="116">
        <v>43543</v>
      </c>
      <c r="BV5" s="9">
        <v>21</v>
      </c>
      <c r="BW5" s="116">
        <v>43781</v>
      </c>
    </row>
    <row r="6" spans="1:75">
      <c r="A6" s="107">
        <v>2484</v>
      </c>
      <c r="B6" s="112">
        <v>6</v>
      </c>
      <c r="C6" s="116">
        <v>43567</v>
      </c>
      <c r="D6" s="116">
        <v>43593</v>
      </c>
      <c r="E6" s="116">
        <v>43705</v>
      </c>
      <c r="F6" s="116">
        <v>43754</v>
      </c>
      <c r="G6" s="116">
        <v>43816</v>
      </c>
      <c r="H6" s="116">
        <v>43882</v>
      </c>
      <c r="I6" s="116"/>
      <c r="J6" s="116"/>
      <c r="K6" s="116"/>
      <c r="L6" s="116"/>
      <c r="M6" s="116">
        <v>43567</v>
      </c>
      <c r="N6" s="116">
        <v>43593</v>
      </c>
      <c r="O6" s="116">
        <v>43705</v>
      </c>
      <c r="P6" s="116">
        <v>43754</v>
      </c>
      <c r="Q6" s="116">
        <v>43816</v>
      </c>
      <c r="R6" s="116">
        <v>43882</v>
      </c>
      <c r="S6" s="116"/>
      <c r="T6" s="116"/>
      <c r="U6" s="116"/>
      <c r="V6" s="190">
        <v>1443.7</v>
      </c>
      <c r="W6" s="190">
        <v>2281.3999999999996</v>
      </c>
      <c r="X6" s="190">
        <v>2042.5</v>
      </c>
      <c r="Y6" s="190">
        <v>2108.1999999999998</v>
      </c>
      <c r="Z6" s="190">
        <v>1755.1</v>
      </c>
      <c r="AA6" s="190"/>
      <c r="AB6" s="190"/>
      <c r="AC6" s="190"/>
      <c r="AD6" s="190"/>
      <c r="AE6" s="190">
        <v>4.4249999999999998</v>
      </c>
      <c r="AF6" s="190">
        <v>6.15</v>
      </c>
      <c r="AG6" s="190">
        <v>5.0749999999999993</v>
      </c>
      <c r="AH6" s="190">
        <v>4</v>
      </c>
      <c r="AI6" s="190">
        <v>3.3000000000000003</v>
      </c>
      <c r="AJ6" s="190"/>
      <c r="AK6" s="190"/>
      <c r="AL6" s="190"/>
      <c r="AM6" s="190"/>
      <c r="AN6" s="190">
        <v>74.38</v>
      </c>
      <c r="AO6" s="190">
        <v>96.68</v>
      </c>
      <c r="AP6" s="190">
        <v>65.260000000000005</v>
      </c>
      <c r="AQ6" s="190">
        <v>56.6</v>
      </c>
      <c r="AR6" s="190">
        <v>79.180000000000007</v>
      </c>
      <c r="AS6" s="190"/>
      <c r="AT6" s="190"/>
      <c r="AU6" s="190"/>
      <c r="AV6" s="190"/>
      <c r="AW6" s="190">
        <v>1677.28</v>
      </c>
      <c r="AX6" s="190">
        <v>774.22</v>
      </c>
      <c r="AY6" s="190">
        <v>1414.47</v>
      </c>
      <c r="AZ6" s="190">
        <v>1270.51</v>
      </c>
      <c r="BA6" s="190">
        <v>539.66999999999996</v>
      </c>
      <c r="BB6" s="190"/>
      <c r="BC6" s="190"/>
      <c r="BD6" s="190"/>
      <c r="BE6" s="190"/>
      <c r="BF6" s="9">
        <v>45</v>
      </c>
      <c r="BG6" s="7">
        <v>43539</v>
      </c>
      <c r="BH6" s="9">
        <v>45</v>
      </c>
      <c r="BI6" s="137">
        <v>43567</v>
      </c>
      <c r="BJ6" s="128">
        <f t="shared" si="0"/>
        <v>1</v>
      </c>
      <c r="BK6" s="128">
        <f t="shared" si="1"/>
        <v>5</v>
      </c>
      <c r="BL6" s="9">
        <v>45</v>
      </c>
      <c r="BM6" s="116">
        <v>43567</v>
      </c>
      <c r="BN6" s="9">
        <v>45</v>
      </c>
      <c r="BO6" s="116">
        <v>43593</v>
      </c>
      <c r="BP6" s="9">
        <v>43</v>
      </c>
      <c r="BQ6" s="116">
        <v>43705</v>
      </c>
      <c r="BR6" s="9">
        <v>40</v>
      </c>
      <c r="BS6" s="116">
        <v>43816</v>
      </c>
      <c r="BT6" s="9">
        <v>39</v>
      </c>
      <c r="BU6" s="116">
        <v>43882</v>
      </c>
      <c r="BV6" s="9"/>
      <c r="BW6" s="116"/>
    </row>
    <row r="7" spans="1:75">
      <c r="A7" s="112">
        <v>1265</v>
      </c>
      <c r="B7" s="112">
        <v>4</v>
      </c>
      <c r="C7" s="116">
        <v>42111</v>
      </c>
      <c r="D7" s="116">
        <v>42137</v>
      </c>
      <c r="E7" s="116">
        <v>42454</v>
      </c>
      <c r="F7" s="116">
        <v>42480</v>
      </c>
      <c r="G7" s="116"/>
      <c r="H7" s="116"/>
      <c r="I7" s="116"/>
      <c r="J7" s="116"/>
      <c r="K7" s="116"/>
      <c r="L7" s="116"/>
      <c r="M7" s="116" t="s">
        <v>89</v>
      </c>
      <c r="N7" s="116" t="s">
        <v>90</v>
      </c>
      <c r="O7" s="116">
        <v>42454</v>
      </c>
      <c r="P7" s="116">
        <v>42480</v>
      </c>
      <c r="Q7" s="116"/>
      <c r="R7" s="116"/>
      <c r="S7" s="116"/>
      <c r="T7" s="116"/>
      <c r="U7" s="116"/>
      <c r="V7" s="190">
        <v>943.7</v>
      </c>
      <c r="W7" s="190">
        <v>2024.1</v>
      </c>
      <c r="X7" s="190">
        <v>1299.1999999999998</v>
      </c>
      <c r="Y7" s="190">
        <v>1700.3</v>
      </c>
      <c r="Z7" s="190"/>
      <c r="AA7" s="190"/>
      <c r="AB7" s="190"/>
      <c r="AC7" s="190"/>
      <c r="AD7" s="190"/>
      <c r="AE7" s="190">
        <v>1.04</v>
      </c>
      <c r="AF7" s="190">
        <v>1.33</v>
      </c>
      <c r="AG7" s="190">
        <v>0.56000000000000005</v>
      </c>
      <c r="AH7" s="190">
        <v>0.66</v>
      </c>
      <c r="AI7" s="190"/>
      <c r="AJ7" s="190"/>
      <c r="AK7" s="190"/>
      <c r="AL7" s="190"/>
      <c r="AM7" s="190"/>
      <c r="AN7" s="190">
        <v>30.84</v>
      </c>
      <c r="AO7" s="190">
        <v>55.06</v>
      </c>
      <c r="AP7" s="190">
        <v>25.92</v>
      </c>
      <c r="AQ7" s="190">
        <v>26.06</v>
      </c>
      <c r="AR7" s="190"/>
      <c r="AS7" s="190"/>
      <c r="AT7" s="190"/>
      <c r="AU7" s="190"/>
      <c r="AV7" s="190"/>
      <c r="AW7" s="190">
        <v>864.32399999999996</v>
      </c>
      <c r="AX7" s="190">
        <v>670.89</v>
      </c>
      <c r="AY7" s="190">
        <v>590.99400000000003</v>
      </c>
      <c r="AZ7" s="190">
        <v>632.66399999999999</v>
      </c>
      <c r="BA7" s="190"/>
      <c r="BB7" s="190"/>
      <c r="BC7" s="190"/>
      <c r="BD7" s="190"/>
      <c r="BE7" s="190"/>
      <c r="BF7" s="9">
        <v>41</v>
      </c>
      <c r="BG7" s="7">
        <v>41858</v>
      </c>
      <c r="BH7" s="9">
        <v>34</v>
      </c>
      <c r="BI7" s="137">
        <v>42111</v>
      </c>
      <c r="BJ7" s="128">
        <f t="shared" si="0"/>
        <v>4</v>
      </c>
      <c r="BK7" s="128">
        <f t="shared" si="1"/>
        <v>8</v>
      </c>
      <c r="BL7" s="9">
        <v>34</v>
      </c>
      <c r="BM7" s="116">
        <v>42111</v>
      </c>
      <c r="BN7" s="9">
        <v>33</v>
      </c>
      <c r="BO7" s="116">
        <v>42240</v>
      </c>
      <c r="BP7" s="9">
        <v>33</v>
      </c>
      <c r="BQ7" s="116">
        <v>42359</v>
      </c>
      <c r="BR7" s="9">
        <v>31</v>
      </c>
      <c r="BS7" s="116">
        <v>42478</v>
      </c>
      <c r="BT7" s="9">
        <v>19</v>
      </c>
      <c r="BU7" s="116">
        <v>42814</v>
      </c>
      <c r="BV7" s="9">
        <v>9</v>
      </c>
      <c r="BW7" s="116">
        <v>43145</v>
      </c>
    </row>
    <row r="8" spans="1:75">
      <c r="A8" s="112">
        <v>1270</v>
      </c>
      <c r="B8" s="112">
        <v>4</v>
      </c>
      <c r="C8" s="116">
        <v>42159</v>
      </c>
      <c r="D8" s="116">
        <v>42185</v>
      </c>
      <c r="E8" s="116">
        <v>42481</v>
      </c>
      <c r="F8" s="116">
        <v>42507</v>
      </c>
      <c r="G8" s="116"/>
      <c r="H8" s="116"/>
      <c r="I8" s="116"/>
      <c r="J8" s="116"/>
      <c r="K8" s="116"/>
      <c r="L8" s="116"/>
      <c r="M8" s="116" t="s">
        <v>93</v>
      </c>
      <c r="N8" s="116" t="s">
        <v>94</v>
      </c>
      <c r="O8" s="116">
        <v>42481</v>
      </c>
      <c r="P8" s="116">
        <v>42507</v>
      </c>
      <c r="Q8" s="116"/>
      <c r="R8" s="116"/>
      <c r="S8" s="116"/>
      <c r="T8" s="116"/>
      <c r="U8" s="116"/>
      <c r="V8" s="190">
        <v>1618</v>
      </c>
      <c r="W8" s="190">
        <v>1362.1000000000001</v>
      </c>
      <c r="X8" s="190">
        <v>1312.1000000000001</v>
      </c>
      <c r="Y8" s="190">
        <v>1819.6000000000001</v>
      </c>
      <c r="Z8" s="190"/>
      <c r="AA8" s="190"/>
      <c r="AB8" s="190"/>
      <c r="AC8" s="190"/>
      <c r="AD8" s="190"/>
      <c r="AE8" s="190">
        <v>1.63</v>
      </c>
      <c r="AF8" s="190">
        <v>1.43</v>
      </c>
      <c r="AG8" s="190">
        <v>1.33</v>
      </c>
      <c r="AH8" s="190">
        <v>2.39</v>
      </c>
      <c r="AI8" s="190"/>
      <c r="AJ8" s="190"/>
      <c r="AK8" s="190"/>
      <c r="AL8" s="190"/>
      <c r="AM8" s="190"/>
      <c r="AN8" s="190">
        <v>43.01</v>
      </c>
      <c r="AO8" s="190">
        <v>35.18</v>
      </c>
      <c r="AP8" s="190">
        <v>50.32</v>
      </c>
      <c r="AQ8" s="190">
        <v>45.97</v>
      </c>
      <c r="AR8" s="190"/>
      <c r="AS8" s="190"/>
      <c r="AT8" s="190"/>
      <c r="AU8" s="190"/>
      <c r="AV8" s="190"/>
      <c r="AW8" s="190">
        <v>650.28</v>
      </c>
      <c r="AX8" s="190">
        <v>529.62599999999998</v>
      </c>
      <c r="AY8" s="190">
        <v>892.24799999999993</v>
      </c>
      <c r="AZ8" s="190">
        <v>556.01400000000001</v>
      </c>
      <c r="BA8" s="190"/>
      <c r="BB8" s="190"/>
      <c r="BC8" s="190"/>
      <c r="BD8" s="190"/>
      <c r="BE8" s="190"/>
      <c r="BF8" s="9">
        <v>43</v>
      </c>
      <c r="BG8" s="7">
        <v>41858</v>
      </c>
      <c r="BH8" s="9">
        <v>39</v>
      </c>
      <c r="BI8" s="137">
        <v>42159</v>
      </c>
      <c r="BJ8" s="128">
        <f t="shared" si="0"/>
        <v>4</v>
      </c>
      <c r="BK8" s="128"/>
      <c r="BL8" s="9">
        <v>39</v>
      </c>
      <c r="BM8" s="116">
        <v>42159</v>
      </c>
      <c r="BN8" s="9">
        <v>38</v>
      </c>
      <c r="BO8" s="116">
        <v>42296</v>
      </c>
      <c r="BP8" s="9">
        <v>35</v>
      </c>
      <c r="BQ8" s="116">
        <v>43855</v>
      </c>
      <c r="BR8" s="9">
        <v>31</v>
      </c>
      <c r="BS8" s="116">
        <v>42534</v>
      </c>
      <c r="BT8" s="9">
        <v>16</v>
      </c>
      <c r="BU8" s="116">
        <v>42835</v>
      </c>
      <c r="BV8" s="9"/>
      <c r="BW8" s="116"/>
    </row>
    <row r="9" spans="1:75">
      <c r="A9" s="112">
        <v>1186</v>
      </c>
      <c r="B9" s="112">
        <v>4</v>
      </c>
      <c r="C9" s="116">
        <v>42117</v>
      </c>
      <c r="D9" s="116">
        <v>42143</v>
      </c>
      <c r="E9" s="116">
        <v>42489</v>
      </c>
      <c r="F9" s="116">
        <v>42515</v>
      </c>
      <c r="G9" s="116"/>
      <c r="H9" s="116"/>
      <c r="I9" s="116"/>
      <c r="J9" s="116"/>
      <c r="K9" s="116"/>
      <c r="L9" s="116"/>
      <c r="M9" s="116" t="s">
        <v>85</v>
      </c>
      <c r="N9" s="116" t="s">
        <v>86</v>
      </c>
      <c r="O9" s="116">
        <v>42489</v>
      </c>
      <c r="P9" s="116">
        <v>42515</v>
      </c>
      <c r="Q9" s="116"/>
      <c r="R9" s="116"/>
      <c r="S9" s="116"/>
      <c r="T9" s="116"/>
      <c r="U9" s="116"/>
      <c r="V9" s="190">
        <v>884.80000000000007</v>
      </c>
      <c r="W9" s="190">
        <v>1458.8999999999999</v>
      </c>
      <c r="X9" s="190">
        <v>1114.5999999999999</v>
      </c>
      <c r="Y9" s="190">
        <v>1316.2</v>
      </c>
      <c r="Z9" s="190"/>
      <c r="AA9" s="190"/>
      <c r="AB9" s="190"/>
      <c r="AC9" s="190"/>
      <c r="AD9" s="190"/>
      <c r="AE9" s="190">
        <v>0.75</v>
      </c>
      <c r="AF9" s="190">
        <v>1.24</v>
      </c>
      <c r="AG9" s="190">
        <v>0.62</v>
      </c>
      <c r="AH9" s="190">
        <v>1.33</v>
      </c>
      <c r="AI9" s="190"/>
      <c r="AJ9" s="190"/>
      <c r="AK9" s="190"/>
      <c r="AL9" s="190"/>
      <c r="AM9" s="190"/>
      <c r="AN9" s="190">
        <v>43.24</v>
      </c>
      <c r="AO9" s="190">
        <v>34.32</v>
      </c>
      <c r="AP9" s="190">
        <v>35.17</v>
      </c>
      <c r="AQ9" s="190">
        <v>27.34</v>
      </c>
      <c r="AR9" s="190"/>
      <c r="AS9" s="190"/>
      <c r="AT9" s="190"/>
      <c r="AU9" s="190"/>
      <c r="AV9" s="190"/>
      <c r="AW9" s="190">
        <v>625.25399999999991</v>
      </c>
      <c r="AX9" s="190">
        <v>397.96199999999999</v>
      </c>
      <c r="AY9" s="190">
        <v>517.24800000000005</v>
      </c>
      <c r="AZ9" s="190">
        <v>463.30799999999994</v>
      </c>
      <c r="BA9" s="190"/>
      <c r="BB9" s="190"/>
      <c r="BC9" s="190"/>
      <c r="BD9" s="190"/>
      <c r="BE9" s="190"/>
      <c r="BF9" s="9">
        <v>34</v>
      </c>
      <c r="BG9" s="7">
        <v>41908</v>
      </c>
      <c r="BH9" s="9">
        <v>26</v>
      </c>
      <c r="BI9" s="137">
        <v>42117</v>
      </c>
      <c r="BJ9" s="128">
        <f t="shared" si="0"/>
        <v>4</v>
      </c>
      <c r="BK9" s="128">
        <f>ROUND((BQ9-BI9)/30.5,0)</f>
        <v>7</v>
      </c>
      <c r="BL9" s="9">
        <v>26</v>
      </c>
      <c r="BM9" s="116">
        <v>42117</v>
      </c>
      <c r="BN9" s="9">
        <v>25</v>
      </c>
      <c r="BO9" s="116">
        <v>42226</v>
      </c>
      <c r="BP9" s="9">
        <v>25</v>
      </c>
      <c r="BQ9" s="116">
        <v>42345</v>
      </c>
      <c r="BR9" s="9">
        <v>25</v>
      </c>
      <c r="BS9" s="116">
        <v>42488</v>
      </c>
      <c r="BT9" s="9">
        <v>23</v>
      </c>
      <c r="BU9" s="116">
        <v>42800</v>
      </c>
      <c r="BV9" s="9">
        <v>19</v>
      </c>
      <c r="BW9" s="116">
        <v>43178</v>
      </c>
    </row>
    <row r="10" spans="1:75">
      <c r="A10" s="112">
        <v>1701</v>
      </c>
      <c r="B10" s="112">
        <v>4</v>
      </c>
      <c r="C10" s="116">
        <v>42524</v>
      </c>
      <c r="D10" s="116">
        <v>42550</v>
      </c>
      <c r="E10" s="116">
        <v>42874</v>
      </c>
      <c r="F10" s="116">
        <v>42900</v>
      </c>
      <c r="G10" s="116"/>
      <c r="H10" s="116"/>
      <c r="I10" s="116"/>
      <c r="J10" s="116"/>
      <c r="K10" s="116"/>
      <c r="L10" s="116"/>
      <c r="M10" s="116" t="s">
        <v>87</v>
      </c>
      <c r="N10" s="116" t="s">
        <v>88</v>
      </c>
      <c r="O10" s="116">
        <v>42874</v>
      </c>
      <c r="P10" s="116">
        <v>42900</v>
      </c>
      <c r="Q10" s="116"/>
      <c r="R10" s="116"/>
      <c r="S10" s="116"/>
      <c r="T10" s="116"/>
      <c r="U10" s="116"/>
      <c r="V10" s="190">
        <v>883.19999999999993</v>
      </c>
      <c r="W10" s="190">
        <v>462.2</v>
      </c>
      <c r="X10" s="190">
        <v>797.09999999999991</v>
      </c>
      <c r="Y10" s="190">
        <v>1560.5</v>
      </c>
      <c r="Z10" s="190"/>
      <c r="AA10" s="190"/>
      <c r="AB10" s="190"/>
      <c r="AC10" s="190"/>
      <c r="AD10" s="190"/>
      <c r="AE10" s="190">
        <v>1.34</v>
      </c>
      <c r="AF10" s="190">
        <v>0.62</v>
      </c>
      <c r="AG10" s="190">
        <v>1.04</v>
      </c>
      <c r="AH10" s="190">
        <v>1.83</v>
      </c>
      <c r="AI10" s="190"/>
      <c r="AJ10" s="190"/>
      <c r="AK10" s="190"/>
      <c r="AL10" s="190"/>
      <c r="AM10" s="190"/>
      <c r="AN10" s="190">
        <v>34.72</v>
      </c>
      <c r="AO10" s="190">
        <v>25.79</v>
      </c>
      <c r="AP10" s="190">
        <v>41.68</v>
      </c>
      <c r="AQ10" s="190">
        <v>25.08</v>
      </c>
      <c r="AR10" s="190"/>
      <c r="AS10" s="190"/>
      <c r="AT10" s="190"/>
      <c r="AU10" s="190"/>
      <c r="AV10" s="190"/>
      <c r="AW10" s="190">
        <v>816.68400000000008</v>
      </c>
      <c r="AX10" s="190">
        <v>734.55599999999993</v>
      </c>
      <c r="AY10" s="190">
        <v>1357.3680000000002</v>
      </c>
      <c r="AZ10" s="190">
        <v>707.00399999999991</v>
      </c>
      <c r="BA10" s="190"/>
      <c r="BB10" s="190"/>
      <c r="BC10" s="190"/>
      <c r="BD10" s="190"/>
      <c r="BE10" s="190"/>
      <c r="BF10" s="9">
        <v>46</v>
      </c>
      <c r="BG10" s="7">
        <v>42384</v>
      </c>
      <c r="BH10" s="9">
        <v>41</v>
      </c>
      <c r="BI10" s="137">
        <v>42524</v>
      </c>
      <c r="BJ10" s="128">
        <f t="shared" si="0"/>
        <v>4</v>
      </c>
      <c r="BK10" s="128">
        <f>ROUND((BQ10-BI10)/30.5,0)</f>
        <v>6</v>
      </c>
      <c r="BL10" s="9">
        <v>41</v>
      </c>
      <c r="BM10" s="116">
        <v>42524</v>
      </c>
      <c r="BN10" s="9">
        <v>40</v>
      </c>
      <c r="BO10" s="116">
        <v>42639</v>
      </c>
      <c r="BP10" s="9">
        <v>40</v>
      </c>
      <c r="BQ10" s="116">
        <v>42695</v>
      </c>
      <c r="BR10" s="9">
        <v>40</v>
      </c>
      <c r="BS10" s="116">
        <v>42867</v>
      </c>
      <c r="BT10" s="9">
        <v>33</v>
      </c>
      <c r="BU10" s="116">
        <v>43217</v>
      </c>
      <c r="BV10" s="9">
        <v>27</v>
      </c>
      <c r="BW10" s="116">
        <v>43532</v>
      </c>
    </row>
    <row r="11" spans="1:75">
      <c r="A11" s="112">
        <v>2039</v>
      </c>
      <c r="B11" s="112">
        <v>4</v>
      </c>
      <c r="C11" s="116">
        <v>42972</v>
      </c>
      <c r="D11" s="116">
        <v>42998</v>
      </c>
      <c r="E11" s="116">
        <v>43224</v>
      </c>
      <c r="F11" s="116">
        <v>43250</v>
      </c>
      <c r="G11" s="116"/>
      <c r="H11" s="116"/>
      <c r="I11" s="116"/>
      <c r="J11" s="116"/>
      <c r="K11" s="116"/>
      <c r="L11" s="116"/>
      <c r="M11" s="116" t="s">
        <v>95</v>
      </c>
      <c r="N11" s="116" t="s">
        <v>96</v>
      </c>
      <c r="O11" s="116">
        <v>43224</v>
      </c>
      <c r="P11" s="116">
        <v>43250</v>
      </c>
      <c r="Q11" s="116"/>
      <c r="R11" s="116"/>
      <c r="S11" s="116"/>
      <c r="T11" s="116"/>
      <c r="U11" s="116"/>
      <c r="V11" s="190">
        <v>1106.9000000000001</v>
      </c>
      <c r="W11" s="190">
        <v>1521.1000000000001</v>
      </c>
      <c r="X11" s="190">
        <v>1286</v>
      </c>
      <c r="Y11" s="190">
        <v>1261.9000000000001</v>
      </c>
      <c r="Z11" s="190"/>
      <c r="AA11" s="190"/>
      <c r="AB11" s="190"/>
      <c r="AC11" s="190"/>
      <c r="AD11" s="190"/>
      <c r="AE11" s="190">
        <v>2.98</v>
      </c>
      <c r="AF11" s="190">
        <v>3.11</v>
      </c>
      <c r="AG11" s="190">
        <v>2.33</v>
      </c>
      <c r="AH11" s="190">
        <v>2.59</v>
      </c>
      <c r="AI11" s="190"/>
      <c r="AJ11" s="190"/>
      <c r="AK11" s="190"/>
      <c r="AL11" s="190"/>
      <c r="AM11" s="190"/>
      <c r="AN11" s="190">
        <v>26.37</v>
      </c>
      <c r="AO11" s="190">
        <v>34</v>
      </c>
      <c r="AP11" s="190">
        <v>29.48</v>
      </c>
      <c r="AQ11" s="190">
        <v>24.49</v>
      </c>
      <c r="AR11" s="190"/>
      <c r="AS11" s="190"/>
      <c r="AT11" s="190"/>
      <c r="AU11" s="190"/>
      <c r="AV11" s="190"/>
      <c r="AW11" s="190">
        <v>593.13</v>
      </c>
      <c r="AX11" s="190">
        <v>509.13</v>
      </c>
      <c r="AY11" s="190">
        <v>690.35</v>
      </c>
      <c r="AZ11" s="190">
        <v>378.56</v>
      </c>
      <c r="BA11" s="190"/>
      <c r="BB11" s="190"/>
      <c r="BC11" s="190"/>
      <c r="BD11" s="190"/>
      <c r="BE11" s="190"/>
      <c r="BF11" s="9">
        <v>38</v>
      </c>
      <c r="BG11" s="7">
        <v>42940</v>
      </c>
      <c r="BH11" s="9">
        <v>40</v>
      </c>
      <c r="BI11" s="137">
        <v>42972</v>
      </c>
      <c r="BJ11" s="128">
        <f t="shared" si="0"/>
        <v>6</v>
      </c>
      <c r="BK11" s="128"/>
      <c r="BL11" s="9">
        <v>40</v>
      </c>
      <c r="BM11" s="116">
        <v>42972</v>
      </c>
      <c r="BN11" s="9">
        <v>34</v>
      </c>
      <c r="BO11" s="116">
        <v>43157</v>
      </c>
      <c r="BP11" s="9"/>
      <c r="BQ11" s="116"/>
      <c r="BR11" s="9"/>
      <c r="BS11" s="116"/>
      <c r="BT11" s="9"/>
      <c r="BU11" s="116"/>
      <c r="BV11" s="9"/>
      <c r="BW11" s="116"/>
    </row>
    <row r="12" spans="1:75">
      <c r="A12" s="112">
        <v>2102</v>
      </c>
      <c r="B12" s="112">
        <v>4</v>
      </c>
      <c r="C12" s="116">
        <v>43062</v>
      </c>
      <c r="D12" s="116">
        <v>43088</v>
      </c>
      <c r="E12" s="116">
        <v>43406</v>
      </c>
      <c r="F12" s="116">
        <v>43432</v>
      </c>
      <c r="G12" s="116"/>
      <c r="H12" s="116"/>
      <c r="I12" s="116"/>
      <c r="J12" s="116"/>
      <c r="K12" s="116"/>
      <c r="L12" s="116"/>
      <c r="M12" s="116" t="s">
        <v>91</v>
      </c>
      <c r="N12" s="116" t="s">
        <v>92</v>
      </c>
      <c r="O12" s="116">
        <v>43406</v>
      </c>
      <c r="P12" s="116">
        <v>43432</v>
      </c>
      <c r="Q12" s="116"/>
      <c r="R12" s="116"/>
      <c r="S12" s="116"/>
      <c r="T12" s="116"/>
      <c r="U12" s="116"/>
      <c r="V12" s="190">
        <v>1185.5999999999999</v>
      </c>
      <c r="W12" s="190">
        <v>1457.8999999999999</v>
      </c>
      <c r="X12" s="190">
        <v>1249.4000000000001</v>
      </c>
      <c r="Y12" s="190">
        <v>1370.6999999999998</v>
      </c>
      <c r="Z12" s="190"/>
      <c r="AA12" s="190"/>
      <c r="AB12" s="190"/>
      <c r="AC12" s="190"/>
      <c r="AD12" s="190"/>
      <c r="AE12" s="190">
        <v>3.37</v>
      </c>
      <c r="AF12" s="190">
        <v>3.62</v>
      </c>
      <c r="AG12" s="190">
        <v>3.11</v>
      </c>
      <c r="AH12" s="190">
        <v>2.72</v>
      </c>
      <c r="AI12" s="190"/>
      <c r="AJ12" s="190"/>
      <c r="AK12" s="190"/>
      <c r="AL12" s="190"/>
      <c r="AM12" s="190"/>
      <c r="AN12" s="190">
        <v>42.78</v>
      </c>
      <c r="AO12" s="190">
        <v>44.99</v>
      </c>
      <c r="AP12" s="190">
        <v>35.82</v>
      </c>
      <c r="AQ12" s="190">
        <v>37.090000000000003</v>
      </c>
      <c r="AR12" s="190"/>
      <c r="AS12" s="190"/>
      <c r="AT12" s="190"/>
      <c r="AU12" s="190"/>
      <c r="AV12" s="190"/>
      <c r="AW12" s="190">
        <v>751.59</v>
      </c>
      <c r="AX12" s="190">
        <v>750.78</v>
      </c>
      <c r="AY12" s="190">
        <v>731.47</v>
      </c>
      <c r="AZ12" s="190">
        <v>644.04</v>
      </c>
      <c r="BA12" s="190"/>
      <c r="BB12" s="190"/>
      <c r="BC12" s="190"/>
      <c r="BD12" s="190"/>
      <c r="BE12" s="190"/>
      <c r="BF12" s="9">
        <v>33</v>
      </c>
      <c r="BG12" s="7">
        <v>43034</v>
      </c>
      <c r="BH12" s="9">
        <v>33</v>
      </c>
      <c r="BI12" s="137">
        <v>43062</v>
      </c>
      <c r="BJ12" s="128">
        <f t="shared" si="0"/>
        <v>8</v>
      </c>
      <c r="BK12" s="128">
        <f>ROUND((BQ12-BI12)/30.5,0)</f>
        <v>10</v>
      </c>
      <c r="BL12" s="9">
        <v>33</v>
      </c>
      <c r="BM12" s="116">
        <v>43062</v>
      </c>
      <c r="BN12" s="9">
        <v>30</v>
      </c>
      <c r="BO12" s="116">
        <v>43318</v>
      </c>
      <c r="BP12" s="9">
        <v>27</v>
      </c>
      <c r="BQ12" s="116">
        <v>43378</v>
      </c>
      <c r="BR12" s="9">
        <v>27</v>
      </c>
      <c r="BS12" s="116">
        <v>43432</v>
      </c>
      <c r="BT12" s="9"/>
      <c r="BU12" s="116"/>
      <c r="BV12" s="9"/>
      <c r="BW12" s="116"/>
    </row>
    <row r="13" spans="1:75">
      <c r="A13" s="112">
        <v>2272</v>
      </c>
      <c r="B13" s="112">
        <v>4</v>
      </c>
      <c r="C13" s="116">
        <v>43300</v>
      </c>
      <c r="D13" s="116">
        <v>43326</v>
      </c>
      <c r="E13" s="116">
        <v>43454</v>
      </c>
      <c r="F13" s="116">
        <v>43480</v>
      </c>
      <c r="G13" s="116"/>
      <c r="H13" s="116"/>
      <c r="I13" s="116"/>
      <c r="J13" s="116"/>
      <c r="K13" s="116"/>
      <c r="L13" s="116"/>
      <c r="M13" s="116" t="s">
        <v>99</v>
      </c>
      <c r="N13" s="116" t="s">
        <v>100</v>
      </c>
      <c r="O13" s="116">
        <v>43454</v>
      </c>
      <c r="P13" s="116">
        <v>43480</v>
      </c>
      <c r="Q13" s="116"/>
      <c r="R13" s="116"/>
      <c r="S13" s="116"/>
      <c r="T13" s="116"/>
      <c r="U13" s="116"/>
      <c r="V13" s="190">
        <v>1426.1000000000001</v>
      </c>
      <c r="W13" s="190">
        <v>1923.7</v>
      </c>
      <c r="X13" s="190">
        <v>1531.3</v>
      </c>
      <c r="Y13" s="190">
        <v>2315.6</v>
      </c>
      <c r="Z13" s="190"/>
      <c r="AA13" s="190"/>
      <c r="AB13" s="190"/>
      <c r="AC13" s="190"/>
      <c r="AD13" s="190"/>
      <c r="AE13" s="190">
        <v>4.26</v>
      </c>
      <c r="AF13" s="190">
        <v>5.34</v>
      </c>
      <c r="AG13" s="190">
        <v>7.15</v>
      </c>
      <c r="AH13" s="190">
        <v>13.27</v>
      </c>
      <c r="AI13" s="190"/>
      <c r="AJ13" s="190"/>
      <c r="AK13" s="190"/>
      <c r="AL13" s="190"/>
      <c r="AM13" s="190"/>
      <c r="AN13" s="190">
        <v>71.72</v>
      </c>
      <c r="AO13" s="190">
        <v>60.04</v>
      </c>
      <c r="AP13" s="190">
        <v>38.46</v>
      </c>
      <c r="AQ13" s="190">
        <v>38.46</v>
      </c>
      <c r="AR13" s="190"/>
      <c r="AS13" s="190"/>
      <c r="AT13" s="190"/>
      <c r="AU13" s="190"/>
      <c r="AV13" s="190"/>
      <c r="AW13" s="190">
        <v>1007.61</v>
      </c>
      <c r="AX13" s="190">
        <v>934.53</v>
      </c>
      <c r="AY13" s="190">
        <v>801.67</v>
      </c>
      <c r="AZ13" s="190">
        <v>637.16999999999996</v>
      </c>
      <c r="BA13" s="190"/>
      <c r="BB13" s="190"/>
      <c r="BC13" s="190"/>
      <c r="BD13" s="190"/>
      <c r="BE13" s="190"/>
      <c r="BF13" s="9">
        <v>46</v>
      </c>
      <c r="BG13" s="7">
        <v>43272</v>
      </c>
      <c r="BH13" s="9">
        <v>46</v>
      </c>
      <c r="BI13" s="137">
        <v>43300</v>
      </c>
      <c r="BJ13" s="128">
        <f t="shared" si="0"/>
        <v>4</v>
      </c>
      <c r="BK13" s="128">
        <f>ROUND((BQ13-BI13)/30.5,0)</f>
        <v>5</v>
      </c>
      <c r="BL13" s="9">
        <v>46</v>
      </c>
      <c r="BM13" s="116">
        <v>43300</v>
      </c>
      <c r="BN13" s="9">
        <v>46</v>
      </c>
      <c r="BO13" s="116">
        <v>43426</v>
      </c>
      <c r="BP13" s="9">
        <v>45</v>
      </c>
      <c r="BQ13" s="116">
        <v>43454</v>
      </c>
      <c r="BR13" s="9"/>
      <c r="BS13" s="116"/>
      <c r="BT13" s="9"/>
      <c r="BU13" s="116"/>
      <c r="BV13" s="9"/>
      <c r="BW13" s="116"/>
    </row>
    <row r="14" spans="1:75">
      <c r="A14" s="112">
        <v>1984</v>
      </c>
      <c r="B14" s="112">
        <v>4</v>
      </c>
      <c r="C14" s="116">
        <v>43027</v>
      </c>
      <c r="D14" s="116">
        <v>43053</v>
      </c>
      <c r="E14" s="116">
        <v>43518</v>
      </c>
      <c r="F14" s="116">
        <v>43544</v>
      </c>
      <c r="G14" s="116"/>
      <c r="H14" s="116"/>
      <c r="I14" s="116"/>
      <c r="J14" s="116"/>
      <c r="K14" s="116"/>
      <c r="L14" s="116"/>
      <c r="M14" s="116" t="s">
        <v>83</v>
      </c>
      <c r="N14" s="116" t="s">
        <v>84</v>
      </c>
      <c r="O14" s="116">
        <v>43518</v>
      </c>
      <c r="P14" s="116">
        <v>43544</v>
      </c>
      <c r="Q14" s="116"/>
      <c r="R14" s="116"/>
      <c r="S14" s="116"/>
      <c r="T14" s="116"/>
      <c r="U14" s="116"/>
      <c r="V14" s="190">
        <v>963.8</v>
      </c>
      <c r="W14" s="190">
        <v>2378.1</v>
      </c>
      <c r="X14" s="190">
        <v>1018.9</v>
      </c>
      <c r="Y14" s="190">
        <v>1236.5</v>
      </c>
      <c r="Z14" s="190"/>
      <c r="AA14" s="190"/>
      <c r="AB14" s="190"/>
      <c r="AC14" s="190"/>
      <c r="AD14" s="190"/>
      <c r="AE14" s="190">
        <v>3.75</v>
      </c>
      <c r="AF14" s="190">
        <v>4.82</v>
      </c>
      <c r="AG14" s="190">
        <v>4.18</v>
      </c>
      <c r="AH14" s="190">
        <v>7.29</v>
      </c>
      <c r="AI14" s="190"/>
      <c r="AJ14" s="190"/>
      <c r="AK14" s="190"/>
      <c r="AL14" s="190"/>
      <c r="AM14" s="190"/>
      <c r="AN14" s="190">
        <v>44.64</v>
      </c>
      <c r="AO14" s="190">
        <v>47.45</v>
      </c>
      <c r="AP14" s="190">
        <v>35.07</v>
      </c>
      <c r="AQ14" s="190">
        <v>37.159999999999997</v>
      </c>
      <c r="AR14" s="190"/>
      <c r="AS14" s="190"/>
      <c r="AT14" s="190"/>
      <c r="AU14" s="190"/>
      <c r="AV14" s="190"/>
      <c r="AW14" s="190">
        <v>929.77</v>
      </c>
      <c r="AX14" s="190">
        <v>722.57</v>
      </c>
      <c r="AY14" s="190">
        <v>1320.35</v>
      </c>
      <c r="AZ14" s="190">
        <v>489.38</v>
      </c>
      <c r="BA14" s="190"/>
      <c r="BB14" s="190"/>
      <c r="BC14" s="190"/>
      <c r="BD14" s="190"/>
      <c r="BE14" s="190"/>
      <c r="BF14" s="9">
        <v>45</v>
      </c>
      <c r="BG14" s="7">
        <v>42874</v>
      </c>
      <c r="BH14" s="9">
        <v>43</v>
      </c>
      <c r="BI14" s="137">
        <v>43027</v>
      </c>
      <c r="BJ14" s="128">
        <f t="shared" si="0"/>
        <v>3</v>
      </c>
      <c r="BK14" s="128">
        <f>ROUND((BQ14-BI14)/30.5,0)</f>
        <v>5</v>
      </c>
      <c r="BL14" s="9">
        <v>43</v>
      </c>
      <c r="BM14" s="116">
        <v>43027</v>
      </c>
      <c r="BN14" s="9">
        <v>37</v>
      </c>
      <c r="BO14" s="116">
        <v>43115</v>
      </c>
      <c r="BP14" s="9">
        <v>37</v>
      </c>
      <c r="BQ14" s="116">
        <v>43171</v>
      </c>
      <c r="BR14" s="9">
        <v>25</v>
      </c>
      <c r="BS14" s="116">
        <v>43416</v>
      </c>
      <c r="BT14" s="9">
        <v>22</v>
      </c>
      <c r="BU14" s="116">
        <v>43745</v>
      </c>
      <c r="BV14" s="9"/>
      <c r="BW14" s="116"/>
    </row>
    <row r="15" spans="1:75">
      <c r="A15" s="112">
        <v>2335</v>
      </c>
      <c r="B15" s="112">
        <v>4</v>
      </c>
      <c r="C15" s="116">
        <v>43385</v>
      </c>
      <c r="D15" s="116">
        <v>43411</v>
      </c>
      <c r="E15" s="116">
        <v>43559</v>
      </c>
      <c r="F15" s="116">
        <v>43595</v>
      </c>
      <c r="G15" s="116"/>
      <c r="H15" s="116"/>
      <c r="I15" s="116"/>
      <c r="J15" s="116"/>
      <c r="K15" s="116"/>
      <c r="L15" s="116"/>
      <c r="M15" s="116">
        <v>43385</v>
      </c>
      <c r="N15" s="116">
        <v>43411</v>
      </c>
      <c r="O15" s="116">
        <v>43559</v>
      </c>
      <c r="P15" s="116">
        <v>43595</v>
      </c>
      <c r="Q15" s="116"/>
      <c r="R15" s="116"/>
      <c r="S15" s="116"/>
      <c r="T15" s="116"/>
      <c r="U15" s="116"/>
      <c r="V15" s="190">
        <v>924.80000000000007</v>
      </c>
      <c r="W15" s="190">
        <v>1744.6000000000001</v>
      </c>
      <c r="X15" s="190">
        <v>1128.8</v>
      </c>
      <c r="Y15" s="190">
        <v>2232</v>
      </c>
      <c r="Z15" s="190"/>
      <c r="AA15" s="190"/>
      <c r="AB15" s="190"/>
      <c r="AC15" s="190"/>
      <c r="AD15" s="190"/>
      <c r="AE15" s="190">
        <v>3.3000000000000003</v>
      </c>
      <c r="AF15" s="190">
        <v>4.2</v>
      </c>
      <c r="AG15" s="190">
        <v>2.15</v>
      </c>
      <c r="AH15" s="190">
        <v>30</v>
      </c>
      <c r="AI15" s="190"/>
      <c r="AJ15" s="190"/>
      <c r="AK15" s="190"/>
      <c r="AL15" s="190"/>
      <c r="AM15" s="190"/>
      <c r="AN15" s="190">
        <v>37.14</v>
      </c>
      <c r="AO15" s="190">
        <v>42.78</v>
      </c>
      <c r="AP15" s="190">
        <v>29.4</v>
      </c>
      <c r="AQ15" s="190">
        <v>66.069999999999993</v>
      </c>
      <c r="AR15" s="190"/>
      <c r="AS15" s="190"/>
      <c r="AT15" s="190"/>
      <c r="AU15" s="190"/>
      <c r="AV15" s="190"/>
      <c r="AW15" s="190">
        <v>1263.81</v>
      </c>
      <c r="AX15" s="190">
        <v>731.05</v>
      </c>
      <c r="AY15" s="190">
        <v>1079.76</v>
      </c>
      <c r="AZ15" s="190">
        <v>771.38</v>
      </c>
      <c r="BA15" s="190"/>
      <c r="BB15" s="190"/>
      <c r="BC15" s="190"/>
      <c r="BD15" s="190"/>
      <c r="BE15" s="190"/>
      <c r="BF15" s="9">
        <v>41</v>
      </c>
      <c r="BG15" s="7">
        <v>43356</v>
      </c>
      <c r="BH15" s="9">
        <v>39</v>
      </c>
      <c r="BI15" s="137">
        <v>43385</v>
      </c>
      <c r="BJ15" s="128">
        <f t="shared" si="0"/>
        <v>5</v>
      </c>
      <c r="BK15" s="128"/>
      <c r="BL15" s="9">
        <v>39</v>
      </c>
      <c r="BM15" s="116">
        <v>43383</v>
      </c>
      <c r="BN15" s="9">
        <v>38</v>
      </c>
      <c r="BO15" s="116">
        <v>43531</v>
      </c>
      <c r="BP15" s="9">
        <v>29</v>
      </c>
      <c r="BQ15" s="116">
        <v>43829</v>
      </c>
      <c r="BR15" s="9"/>
      <c r="BS15" s="116"/>
      <c r="BT15" s="9"/>
      <c r="BU15" s="116"/>
      <c r="BV15" s="9"/>
      <c r="BW15" s="116"/>
    </row>
    <row r="16" spans="1:75">
      <c r="A16" s="107">
        <v>2383</v>
      </c>
      <c r="B16" s="112">
        <v>4</v>
      </c>
      <c r="C16" s="116">
        <v>43454</v>
      </c>
      <c r="D16" s="116">
        <v>43480</v>
      </c>
      <c r="E16" s="116">
        <v>43707</v>
      </c>
      <c r="F16" s="116">
        <v>43746</v>
      </c>
      <c r="G16" s="116"/>
      <c r="H16" s="116"/>
      <c r="I16" s="116"/>
      <c r="J16" s="116"/>
      <c r="K16" s="116"/>
      <c r="L16" s="116"/>
      <c r="M16" s="116">
        <v>43454</v>
      </c>
      <c r="N16" s="116">
        <v>43480</v>
      </c>
      <c r="O16" s="116">
        <v>43707</v>
      </c>
      <c r="P16" s="116">
        <v>43746</v>
      </c>
      <c r="Q16" s="116"/>
      <c r="R16" s="116"/>
      <c r="S16" s="116"/>
      <c r="T16" s="116"/>
      <c r="U16" s="116"/>
      <c r="V16" s="190">
        <v>555.1</v>
      </c>
      <c r="W16" s="190">
        <v>4999</v>
      </c>
      <c r="X16" s="190">
        <v>1272.0999999999999</v>
      </c>
      <c r="Y16" s="190">
        <v>1635.9</v>
      </c>
      <c r="Z16" s="190"/>
      <c r="AA16" s="190"/>
      <c r="AB16" s="190"/>
      <c r="AC16" s="190"/>
      <c r="AD16" s="190"/>
      <c r="AE16" s="190">
        <v>2.15</v>
      </c>
      <c r="AF16" s="190">
        <v>28.900000000000002</v>
      </c>
      <c r="AG16" s="190">
        <v>1.9</v>
      </c>
      <c r="AH16" s="190">
        <v>8.2249999999999996</v>
      </c>
      <c r="AI16" s="190"/>
      <c r="AJ16" s="190"/>
      <c r="AK16" s="190"/>
      <c r="AL16" s="190"/>
      <c r="AM16" s="190"/>
      <c r="AN16" s="190">
        <v>35.119999999999997</v>
      </c>
      <c r="AO16" s="190">
        <v>157.83000000000001</v>
      </c>
      <c r="AP16" s="190">
        <v>30.54</v>
      </c>
      <c r="AQ16" s="190">
        <v>55.24</v>
      </c>
      <c r="AR16" s="190"/>
      <c r="AS16" s="190"/>
      <c r="AT16" s="190"/>
      <c r="AU16" s="190"/>
      <c r="AV16" s="190"/>
      <c r="AW16" s="190">
        <v>870.65</v>
      </c>
      <c r="AX16" s="190">
        <v>1990.28</v>
      </c>
      <c r="AY16" s="190">
        <v>1475.54</v>
      </c>
      <c r="AZ16" s="190">
        <v>523.08000000000004</v>
      </c>
      <c r="BA16" s="190"/>
      <c r="BB16" s="190"/>
      <c r="BC16" s="190"/>
      <c r="BD16" s="190"/>
      <c r="BE16" s="190"/>
      <c r="BF16" s="9">
        <v>43</v>
      </c>
      <c r="BG16" s="7">
        <v>43426</v>
      </c>
      <c r="BH16" s="9">
        <v>43</v>
      </c>
      <c r="BI16" s="137">
        <v>43454</v>
      </c>
      <c r="BJ16" s="128">
        <f t="shared" si="0"/>
        <v>1</v>
      </c>
      <c r="BK16" s="128">
        <f>ROUND((BQ16-BI16)/30.5,0)</f>
        <v>8</v>
      </c>
      <c r="BL16" s="9">
        <v>43</v>
      </c>
      <c r="BM16" s="116">
        <v>43454</v>
      </c>
      <c r="BN16" s="9">
        <v>43</v>
      </c>
      <c r="BO16" s="116">
        <v>43480</v>
      </c>
      <c r="BP16" s="9">
        <v>39</v>
      </c>
      <c r="BQ16" s="116">
        <v>43707</v>
      </c>
      <c r="BR16" s="9">
        <v>39</v>
      </c>
      <c r="BS16" s="116">
        <v>43756</v>
      </c>
      <c r="BT16" s="9"/>
      <c r="BU16" s="116"/>
      <c r="BV16" s="9"/>
      <c r="BW16" s="116"/>
    </row>
    <row r="17" spans="1:75">
      <c r="A17" s="107">
        <v>2103</v>
      </c>
      <c r="B17" s="112">
        <v>4</v>
      </c>
      <c r="C17" s="116">
        <v>43119</v>
      </c>
      <c r="D17" s="116">
        <v>43145</v>
      </c>
      <c r="E17" s="116">
        <v>43699</v>
      </c>
      <c r="F17" s="116">
        <v>43817</v>
      </c>
      <c r="G17" s="116"/>
      <c r="H17" s="116"/>
      <c r="I17" s="116"/>
      <c r="J17" s="116"/>
      <c r="K17" s="116"/>
      <c r="L17" s="116"/>
      <c r="M17" s="116">
        <v>43119</v>
      </c>
      <c r="N17" s="116">
        <v>43145</v>
      </c>
      <c r="O17" s="116">
        <v>43699</v>
      </c>
      <c r="P17" s="116">
        <v>43817</v>
      </c>
      <c r="Q17" s="116"/>
      <c r="R17" s="116"/>
      <c r="S17" s="116"/>
      <c r="T17" s="116"/>
      <c r="U17" s="116"/>
      <c r="V17" s="190">
        <v>1593</v>
      </c>
      <c r="W17" s="190">
        <v>2936.7000000000003</v>
      </c>
      <c r="X17" s="190">
        <v>1209.2</v>
      </c>
      <c r="Y17" s="190">
        <v>294.3</v>
      </c>
      <c r="Z17" s="190"/>
      <c r="AA17" s="190"/>
      <c r="AB17" s="190"/>
      <c r="AC17" s="190"/>
      <c r="AD17" s="190"/>
      <c r="AE17" s="190">
        <v>1.825</v>
      </c>
      <c r="AF17" s="190">
        <v>13.600000000000001</v>
      </c>
      <c r="AG17" s="190">
        <v>1.375</v>
      </c>
      <c r="AH17" s="190">
        <v>0</v>
      </c>
      <c r="AI17" s="190"/>
      <c r="AJ17" s="190"/>
      <c r="AK17" s="190"/>
      <c r="AL17" s="190"/>
      <c r="AM17" s="190"/>
      <c r="AN17" s="190">
        <v>30.85</v>
      </c>
      <c r="AO17" s="190">
        <v>45.62</v>
      </c>
      <c r="AP17" s="190">
        <v>26.65</v>
      </c>
      <c r="AQ17" s="190">
        <v>17.3</v>
      </c>
      <c r="AR17" s="190"/>
      <c r="AS17" s="190"/>
      <c r="AT17" s="190"/>
      <c r="AU17" s="190"/>
      <c r="AV17" s="190"/>
      <c r="AW17" s="190">
        <v>829.95</v>
      </c>
      <c r="AX17" s="190">
        <v>578.34</v>
      </c>
      <c r="AY17" s="190">
        <v>277.41000000000003</v>
      </c>
      <c r="AZ17" s="190">
        <v>801.16</v>
      </c>
      <c r="BA17" s="190"/>
      <c r="BB17" s="190"/>
      <c r="BC17" s="190"/>
      <c r="BD17" s="190"/>
      <c r="BE17" s="190"/>
      <c r="BF17" s="9">
        <v>47</v>
      </c>
      <c r="BG17" s="7">
        <v>43035</v>
      </c>
      <c r="BH17" s="9">
        <v>47</v>
      </c>
      <c r="BI17" s="137">
        <v>43119</v>
      </c>
      <c r="BJ17" s="128">
        <f t="shared" si="0"/>
        <v>9</v>
      </c>
      <c r="BK17" s="128"/>
      <c r="BL17" s="9">
        <v>47</v>
      </c>
      <c r="BM17" s="116">
        <v>43119</v>
      </c>
      <c r="BN17" s="9">
        <v>42</v>
      </c>
      <c r="BO17" s="116">
        <v>43395</v>
      </c>
      <c r="BP17" s="9">
        <v>36</v>
      </c>
      <c r="BQ17" s="116">
        <v>43699</v>
      </c>
      <c r="BR17" s="9">
        <v>33</v>
      </c>
      <c r="BS17" s="116">
        <v>43850</v>
      </c>
      <c r="BT17" s="9">
        <v>31</v>
      </c>
      <c r="BU17" s="116">
        <v>43934</v>
      </c>
      <c r="BV17" s="9"/>
      <c r="BW17" s="116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topLeftCell="B1" workbookViewId="0">
      <selection sqref="A1:E17"/>
    </sheetView>
  </sheetViews>
  <sheetFormatPr defaultRowHeight="16.5"/>
  <cols>
    <col min="1" max="1" width="5.625" bestFit="1" customWidth="1"/>
    <col min="2" max="11" width="9.75" bestFit="1" customWidth="1"/>
    <col min="12" max="12" width="10.25" bestFit="1" customWidth="1"/>
    <col min="13" max="13" width="10.875" bestFit="1" customWidth="1"/>
    <col min="14" max="14" width="11" bestFit="1" customWidth="1"/>
    <col min="15" max="15" width="11.125" bestFit="1" customWidth="1"/>
    <col min="16" max="16" width="10.5" bestFit="1" customWidth="1"/>
    <col min="17" max="17" width="11.125" bestFit="1" customWidth="1"/>
    <col min="18" max="18" width="10.5" bestFit="1" customWidth="1"/>
    <col min="19" max="19" width="11.125" bestFit="1" customWidth="1"/>
    <col min="20" max="20" width="10.5" bestFit="1" customWidth="1"/>
    <col min="21" max="21" width="10.875" bestFit="1" customWidth="1"/>
    <col min="22" max="22" width="10.5" bestFit="1" customWidth="1"/>
    <col min="23" max="23" width="10.875" bestFit="1" customWidth="1"/>
  </cols>
  <sheetData>
    <row r="1" spans="1:23">
      <c r="A1" s="1" t="s">
        <v>0</v>
      </c>
      <c r="B1" s="4" t="s">
        <v>425</v>
      </c>
      <c r="C1" s="4" t="s">
        <v>426</v>
      </c>
      <c r="D1" s="4" t="s">
        <v>427</v>
      </c>
      <c r="E1" s="94" t="s">
        <v>428</v>
      </c>
      <c r="F1" s="94" t="s">
        <v>429</v>
      </c>
      <c r="G1" s="94" t="s">
        <v>430</v>
      </c>
      <c r="H1" s="94" t="s">
        <v>431</v>
      </c>
      <c r="I1" s="94" t="s">
        <v>432</v>
      </c>
      <c r="J1" s="94" t="s">
        <v>433</v>
      </c>
      <c r="K1" s="94" t="s">
        <v>434</v>
      </c>
      <c r="L1" s="13" t="s">
        <v>174</v>
      </c>
      <c r="M1" s="14" t="s">
        <v>175</v>
      </c>
      <c r="N1" s="13" t="s">
        <v>176</v>
      </c>
      <c r="O1" s="14" t="s">
        <v>177</v>
      </c>
      <c r="P1" s="13" t="s">
        <v>178</v>
      </c>
      <c r="Q1" s="14" t="s">
        <v>179</v>
      </c>
      <c r="R1" s="13" t="s">
        <v>180</v>
      </c>
      <c r="S1" s="14" t="s">
        <v>181</v>
      </c>
      <c r="T1" s="13" t="s">
        <v>182</v>
      </c>
      <c r="U1" s="14" t="s">
        <v>183</v>
      </c>
      <c r="V1" s="13" t="s">
        <v>184</v>
      </c>
      <c r="W1" s="14" t="s">
        <v>185</v>
      </c>
    </row>
    <row r="2" spans="1:23">
      <c r="A2" s="112">
        <v>1154</v>
      </c>
      <c r="B2" s="116">
        <v>42089</v>
      </c>
      <c r="C2" s="116">
        <v>42115</v>
      </c>
      <c r="D2" s="116">
        <v>42369</v>
      </c>
      <c r="E2" s="116">
        <v>42516</v>
      </c>
      <c r="F2" s="116">
        <v>42824</v>
      </c>
      <c r="G2" s="116">
        <v>42985</v>
      </c>
      <c r="H2" s="116">
        <v>43151</v>
      </c>
      <c r="I2" s="116">
        <v>43342</v>
      </c>
      <c r="J2" s="116">
        <v>43517</v>
      </c>
      <c r="K2" s="116">
        <v>43698</v>
      </c>
      <c r="L2" s="9">
        <v>29</v>
      </c>
      <c r="M2" s="116">
        <v>42089</v>
      </c>
      <c r="N2" s="9">
        <v>25</v>
      </c>
      <c r="O2" s="116">
        <v>42198</v>
      </c>
      <c r="P2" s="9">
        <v>25</v>
      </c>
      <c r="Q2" s="116">
        <v>42254</v>
      </c>
      <c r="R2" s="9">
        <v>21</v>
      </c>
      <c r="S2" s="116">
        <v>42464</v>
      </c>
      <c r="T2" s="9">
        <v>18</v>
      </c>
      <c r="U2" s="116">
        <v>42779</v>
      </c>
      <c r="V2" s="9">
        <v>18</v>
      </c>
      <c r="W2" s="116">
        <v>43108</v>
      </c>
    </row>
    <row r="3" spans="1:23">
      <c r="A3" s="112">
        <v>2131</v>
      </c>
      <c r="B3" s="116">
        <v>43097</v>
      </c>
      <c r="C3" s="116">
        <v>43123</v>
      </c>
      <c r="D3" s="116">
        <v>43300</v>
      </c>
      <c r="E3" s="116">
        <v>43326</v>
      </c>
      <c r="F3" s="116">
        <v>43497</v>
      </c>
      <c r="G3" s="116">
        <v>43523</v>
      </c>
      <c r="H3" s="116"/>
      <c r="I3" s="116"/>
      <c r="J3" s="116"/>
      <c r="K3" s="116"/>
      <c r="L3" s="9">
        <v>32</v>
      </c>
      <c r="M3" s="116">
        <v>43097</v>
      </c>
      <c r="N3" s="9">
        <v>29</v>
      </c>
      <c r="O3" s="116">
        <v>43258</v>
      </c>
      <c r="P3" s="9">
        <v>22</v>
      </c>
      <c r="Q3" s="116">
        <v>43469</v>
      </c>
      <c r="R3" s="9"/>
      <c r="S3" s="116"/>
      <c r="T3" s="9"/>
      <c r="U3" s="116"/>
      <c r="V3" s="9"/>
      <c r="W3" s="116"/>
    </row>
    <row r="4" spans="1:23">
      <c r="A4" s="107">
        <v>2287</v>
      </c>
      <c r="B4" s="116">
        <v>43321</v>
      </c>
      <c r="C4" s="116">
        <v>43347</v>
      </c>
      <c r="D4" s="116">
        <v>43462</v>
      </c>
      <c r="E4" s="116">
        <v>43488</v>
      </c>
      <c r="F4" s="116">
        <v>43587</v>
      </c>
      <c r="G4" s="116">
        <v>43613</v>
      </c>
      <c r="H4" s="116">
        <v>43698</v>
      </c>
      <c r="I4" s="116">
        <v>43748</v>
      </c>
      <c r="J4" s="116">
        <v>43795</v>
      </c>
      <c r="K4" s="116"/>
      <c r="L4" s="9">
        <v>40</v>
      </c>
      <c r="M4" s="116">
        <v>43321</v>
      </c>
      <c r="N4" s="9">
        <v>38</v>
      </c>
      <c r="O4" s="116">
        <v>43347</v>
      </c>
      <c r="P4" s="9">
        <v>31</v>
      </c>
      <c r="Q4" s="116">
        <v>43462</v>
      </c>
      <c r="R4" s="9">
        <v>32</v>
      </c>
      <c r="S4" s="116">
        <v>43488</v>
      </c>
      <c r="T4" s="9">
        <v>25</v>
      </c>
      <c r="U4" s="116">
        <v>43587</v>
      </c>
      <c r="V4" s="9">
        <v>16</v>
      </c>
      <c r="W4" s="116">
        <v>43698</v>
      </c>
    </row>
    <row r="5" spans="1:23">
      <c r="A5" s="107">
        <v>2081</v>
      </c>
      <c r="B5" s="116">
        <v>43035</v>
      </c>
      <c r="C5" s="116">
        <v>43061</v>
      </c>
      <c r="D5" s="116">
        <v>43517</v>
      </c>
      <c r="E5" s="116">
        <v>43543</v>
      </c>
      <c r="F5" s="116">
        <v>43781</v>
      </c>
      <c r="G5" s="116">
        <v>43872</v>
      </c>
      <c r="H5" s="116"/>
      <c r="I5" s="116"/>
      <c r="J5" s="116"/>
      <c r="K5" s="116"/>
      <c r="L5" s="9">
        <v>31</v>
      </c>
      <c r="M5" s="116">
        <v>43035</v>
      </c>
      <c r="N5" s="9">
        <v>31</v>
      </c>
      <c r="O5" s="116">
        <v>43061</v>
      </c>
      <c r="P5" s="9">
        <v>24</v>
      </c>
      <c r="Q5" s="116">
        <v>43221</v>
      </c>
      <c r="R5" s="9">
        <v>24</v>
      </c>
      <c r="S5" s="116">
        <v>43517</v>
      </c>
      <c r="T5" s="9">
        <v>24</v>
      </c>
      <c r="U5" s="116">
        <v>43543</v>
      </c>
      <c r="V5" s="9">
        <v>21</v>
      </c>
      <c r="W5" s="116">
        <v>43781</v>
      </c>
    </row>
    <row r="6" spans="1:23">
      <c r="A6" s="107">
        <v>2484</v>
      </c>
      <c r="B6" s="116">
        <v>43567</v>
      </c>
      <c r="C6" s="116">
        <v>43593</v>
      </c>
      <c r="D6" s="116">
        <v>43705</v>
      </c>
      <c r="E6" s="116">
        <v>43754</v>
      </c>
      <c r="F6" s="116">
        <v>43816</v>
      </c>
      <c r="G6" s="116">
        <v>43882</v>
      </c>
      <c r="H6" s="116"/>
      <c r="I6" s="116"/>
      <c r="J6" s="116"/>
      <c r="K6" s="116"/>
      <c r="L6" s="9">
        <v>45</v>
      </c>
      <c r="M6" s="116">
        <v>43567</v>
      </c>
      <c r="N6" s="9">
        <v>45</v>
      </c>
      <c r="O6" s="116">
        <v>43593</v>
      </c>
      <c r="P6" s="9">
        <v>43</v>
      </c>
      <c r="Q6" s="116">
        <v>43705</v>
      </c>
      <c r="R6" s="9">
        <v>40</v>
      </c>
      <c r="S6" s="116">
        <v>43816</v>
      </c>
      <c r="T6" s="9">
        <v>39</v>
      </c>
      <c r="U6" s="116">
        <v>43882</v>
      </c>
      <c r="V6" s="9"/>
      <c r="W6" s="116"/>
    </row>
    <row r="7" spans="1:23">
      <c r="A7" s="112">
        <v>1265</v>
      </c>
      <c r="B7" s="116">
        <v>42111</v>
      </c>
      <c r="C7" s="116">
        <v>42137</v>
      </c>
      <c r="D7" s="116">
        <v>42454</v>
      </c>
      <c r="E7" s="116">
        <v>42480</v>
      </c>
      <c r="F7" s="116"/>
      <c r="G7" s="116"/>
      <c r="H7" s="116"/>
      <c r="I7" s="116"/>
      <c r="J7" s="116"/>
      <c r="K7" s="116"/>
      <c r="L7" s="9">
        <v>34</v>
      </c>
      <c r="M7" s="116">
        <v>42111</v>
      </c>
      <c r="N7" s="9">
        <v>33</v>
      </c>
      <c r="O7" s="116">
        <v>42240</v>
      </c>
      <c r="P7" s="9">
        <v>33</v>
      </c>
      <c r="Q7" s="116">
        <v>42359</v>
      </c>
      <c r="R7" s="9">
        <v>31</v>
      </c>
      <c r="S7" s="116">
        <v>42478</v>
      </c>
      <c r="T7" s="9">
        <v>19</v>
      </c>
      <c r="U7" s="116">
        <v>42814</v>
      </c>
      <c r="V7" s="9">
        <v>9</v>
      </c>
      <c r="W7" s="116">
        <v>43145</v>
      </c>
    </row>
    <row r="8" spans="1:23">
      <c r="A8" s="112">
        <v>1270</v>
      </c>
      <c r="B8" s="116">
        <v>42159</v>
      </c>
      <c r="C8" s="116">
        <v>42185</v>
      </c>
      <c r="D8" s="116">
        <v>42481</v>
      </c>
      <c r="E8" s="116">
        <v>42507</v>
      </c>
      <c r="F8" s="116"/>
      <c r="G8" s="116"/>
      <c r="H8" s="116"/>
      <c r="I8" s="116"/>
      <c r="J8" s="116"/>
      <c r="K8" s="116"/>
      <c r="L8" s="9">
        <v>39</v>
      </c>
      <c r="M8" s="116">
        <v>42159</v>
      </c>
      <c r="N8" s="9">
        <v>38</v>
      </c>
      <c r="O8" s="116">
        <v>42296</v>
      </c>
      <c r="P8" s="9">
        <v>35</v>
      </c>
      <c r="Q8" s="116">
        <v>43855</v>
      </c>
      <c r="R8" s="9">
        <v>31</v>
      </c>
      <c r="S8" s="116">
        <v>42534</v>
      </c>
      <c r="T8" s="9">
        <v>16</v>
      </c>
      <c r="U8" s="116">
        <v>42835</v>
      </c>
      <c r="V8" s="9"/>
      <c r="W8" s="116"/>
    </row>
    <row r="9" spans="1:23">
      <c r="A9" s="112">
        <v>1186</v>
      </c>
      <c r="B9" s="116">
        <v>42117</v>
      </c>
      <c r="C9" s="116">
        <v>42143</v>
      </c>
      <c r="D9" s="116">
        <v>42489</v>
      </c>
      <c r="E9" s="116">
        <v>42515</v>
      </c>
      <c r="F9" s="116"/>
      <c r="G9" s="116"/>
      <c r="H9" s="116"/>
      <c r="I9" s="116"/>
      <c r="J9" s="116"/>
      <c r="K9" s="116"/>
      <c r="L9" s="9">
        <v>26</v>
      </c>
      <c r="M9" s="116">
        <v>42117</v>
      </c>
      <c r="N9" s="9">
        <v>25</v>
      </c>
      <c r="O9" s="116">
        <v>42226</v>
      </c>
      <c r="P9" s="9">
        <v>25</v>
      </c>
      <c r="Q9" s="116">
        <v>42345</v>
      </c>
      <c r="R9" s="9">
        <v>25</v>
      </c>
      <c r="S9" s="116">
        <v>42488</v>
      </c>
      <c r="T9" s="9">
        <v>23</v>
      </c>
      <c r="U9" s="116">
        <v>42800</v>
      </c>
      <c r="V9" s="9">
        <v>19</v>
      </c>
      <c r="W9" s="116">
        <v>43178</v>
      </c>
    </row>
    <row r="10" spans="1:23">
      <c r="A10" s="112">
        <v>1701</v>
      </c>
      <c r="B10" s="116">
        <v>42524</v>
      </c>
      <c r="C10" s="116">
        <v>42550</v>
      </c>
      <c r="D10" s="116">
        <v>42874</v>
      </c>
      <c r="E10" s="116">
        <v>42900</v>
      </c>
      <c r="F10" s="116"/>
      <c r="G10" s="116"/>
      <c r="H10" s="116"/>
      <c r="I10" s="116"/>
      <c r="J10" s="116"/>
      <c r="K10" s="116"/>
      <c r="L10" s="9">
        <v>41</v>
      </c>
      <c r="M10" s="116">
        <v>42524</v>
      </c>
      <c r="N10" s="9">
        <v>40</v>
      </c>
      <c r="O10" s="116">
        <v>42639</v>
      </c>
      <c r="P10" s="9">
        <v>40</v>
      </c>
      <c r="Q10" s="116">
        <v>42695</v>
      </c>
      <c r="R10" s="9">
        <v>40</v>
      </c>
      <c r="S10" s="116">
        <v>42867</v>
      </c>
      <c r="T10" s="9">
        <v>33</v>
      </c>
      <c r="U10" s="116">
        <v>43217</v>
      </c>
      <c r="V10" s="9">
        <v>27</v>
      </c>
      <c r="W10" s="116">
        <v>43532</v>
      </c>
    </row>
    <row r="11" spans="1:23">
      <c r="A11" s="112">
        <v>2039</v>
      </c>
      <c r="B11" s="116">
        <v>42972</v>
      </c>
      <c r="C11" s="116">
        <v>42998</v>
      </c>
      <c r="D11" s="116">
        <v>43224</v>
      </c>
      <c r="E11" s="116">
        <v>43250</v>
      </c>
      <c r="F11" s="116"/>
      <c r="G11" s="116"/>
      <c r="H11" s="116"/>
      <c r="I11" s="116"/>
      <c r="J11" s="116"/>
      <c r="K11" s="116"/>
      <c r="L11" s="9">
        <v>40</v>
      </c>
      <c r="M11" s="116">
        <v>42972</v>
      </c>
      <c r="N11" s="9">
        <v>34</v>
      </c>
      <c r="O11" s="116">
        <v>43157</v>
      </c>
      <c r="P11" s="9"/>
      <c r="Q11" s="116"/>
      <c r="R11" s="9"/>
      <c r="S11" s="116"/>
      <c r="T11" s="9"/>
      <c r="U11" s="116"/>
      <c r="V11" s="9"/>
      <c r="W11" s="116"/>
    </row>
    <row r="12" spans="1:23">
      <c r="A12" s="112">
        <v>2102</v>
      </c>
      <c r="B12" s="116">
        <v>43062</v>
      </c>
      <c r="C12" s="116">
        <v>43088</v>
      </c>
      <c r="D12" s="116">
        <v>43406</v>
      </c>
      <c r="E12" s="116">
        <v>43432</v>
      </c>
      <c r="F12" s="116"/>
      <c r="G12" s="116"/>
      <c r="H12" s="116"/>
      <c r="I12" s="116"/>
      <c r="J12" s="116"/>
      <c r="K12" s="116"/>
      <c r="L12" s="9">
        <v>33</v>
      </c>
      <c r="M12" s="116">
        <v>43062</v>
      </c>
      <c r="N12" s="9">
        <v>30</v>
      </c>
      <c r="O12" s="116">
        <v>43318</v>
      </c>
      <c r="P12" s="9">
        <v>27</v>
      </c>
      <c r="Q12" s="116">
        <v>43378</v>
      </c>
      <c r="R12" s="9">
        <v>27</v>
      </c>
      <c r="S12" s="116">
        <v>43432</v>
      </c>
      <c r="T12" s="9"/>
      <c r="U12" s="116"/>
      <c r="V12" s="9"/>
      <c r="W12" s="116"/>
    </row>
    <row r="13" spans="1:23">
      <c r="A13" s="112">
        <v>2272</v>
      </c>
      <c r="B13" s="116">
        <v>43300</v>
      </c>
      <c r="C13" s="116">
        <v>43326</v>
      </c>
      <c r="D13" s="116">
        <v>43454</v>
      </c>
      <c r="E13" s="116">
        <v>43480</v>
      </c>
      <c r="F13" s="116"/>
      <c r="G13" s="116"/>
      <c r="H13" s="116"/>
      <c r="I13" s="116"/>
      <c r="J13" s="116"/>
      <c r="K13" s="116"/>
      <c r="L13" s="9">
        <v>46</v>
      </c>
      <c r="M13" s="116">
        <v>43300</v>
      </c>
      <c r="N13" s="9">
        <v>46</v>
      </c>
      <c r="O13" s="116">
        <v>43426</v>
      </c>
      <c r="P13" s="9">
        <v>45</v>
      </c>
      <c r="Q13" s="116">
        <v>43454</v>
      </c>
      <c r="R13" s="9"/>
      <c r="S13" s="116"/>
      <c r="T13" s="9"/>
      <c r="U13" s="116"/>
      <c r="V13" s="9"/>
      <c r="W13" s="116"/>
    </row>
    <row r="14" spans="1:23">
      <c r="A14" s="112">
        <v>1984</v>
      </c>
      <c r="B14" s="116">
        <v>43027</v>
      </c>
      <c r="C14" s="116">
        <v>43053</v>
      </c>
      <c r="D14" s="116">
        <v>43518</v>
      </c>
      <c r="E14" s="116">
        <v>43544</v>
      </c>
      <c r="F14" s="116"/>
      <c r="G14" s="116"/>
      <c r="H14" s="116"/>
      <c r="I14" s="116"/>
      <c r="J14" s="116"/>
      <c r="K14" s="116"/>
      <c r="L14" s="9">
        <v>43</v>
      </c>
      <c r="M14" s="116">
        <v>43027</v>
      </c>
      <c r="N14" s="9">
        <v>37</v>
      </c>
      <c r="O14" s="116">
        <v>43115</v>
      </c>
      <c r="P14" s="9">
        <v>37</v>
      </c>
      <c r="Q14" s="116">
        <v>43171</v>
      </c>
      <c r="R14" s="9">
        <v>25</v>
      </c>
      <c r="S14" s="116">
        <v>43416</v>
      </c>
      <c r="T14" s="9">
        <v>22</v>
      </c>
      <c r="U14" s="116">
        <v>43745</v>
      </c>
      <c r="V14" s="9"/>
      <c r="W14" s="116"/>
    </row>
    <row r="15" spans="1:23">
      <c r="A15" s="112">
        <v>2335</v>
      </c>
      <c r="B15" s="116">
        <v>43385</v>
      </c>
      <c r="C15" s="116">
        <v>43411</v>
      </c>
      <c r="D15" s="116">
        <v>43559</v>
      </c>
      <c r="E15" s="116">
        <v>43595</v>
      </c>
      <c r="F15" s="116"/>
      <c r="G15" s="116"/>
      <c r="H15" s="116"/>
      <c r="I15" s="116"/>
      <c r="J15" s="116"/>
      <c r="K15" s="116"/>
      <c r="L15" s="9">
        <v>39</v>
      </c>
      <c r="M15" s="116">
        <v>43383</v>
      </c>
      <c r="N15" s="9">
        <v>38</v>
      </c>
      <c r="O15" s="116">
        <v>43531</v>
      </c>
      <c r="P15" s="9">
        <v>29</v>
      </c>
      <c r="Q15" s="116">
        <v>43829</v>
      </c>
      <c r="R15" s="9"/>
      <c r="S15" s="116"/>
      <c r="T15" s="9"/>
      <c r="U15" s="116"/>
      <c r="V15" s="9"/>
      <c r="W15" s="116"/>
    </row>
    <row r="16" spans="1:23">
      <c r="A16" s="107">
        <v>2383</v>
      </c>
      <c r="B16" s="116">
        <v>43454</v>
      </c>
      <c r="C16" s="116">
        <v>43480</v>
      </c>
      <c r="D16" s="116">
        <v>43707</v>
      </c>
      <c r="E16" s="116">
        <v>43746</v>
      </c>
      <c r="F16" s="116"/>
      <c r="G16" s="116"/>
      <c r="H16" s="116"/>
      <c r="I16" s="116"/>
      <c r="J16" s="116"/>
      <c r="K16" s="116"/>
      <c r="L16" s="9">
        <v>43</v>
      </c>
      <c r="M16" s="116">
        <v>43454</v>
      </c>
      <c r="N16" s="9">
        <v>43</v>
      </c>
      <c r="O16" s="116">
        <v>43480</v>
      </c>
      <c r="P16" s="9">
        <v>39</v>
      </c>
      <c r="Q16" s="116">
        <v>43707</v>
      </c>
      <c r="R16" s="9">
        <v>39</v>
      </c>
      <c r="S16" s="116">
        <v>43756</v>
      </c>
      <c r="T16" s="9"/>
      <c r="U16" s="116"/>
      <c r="V16" s="9"/>
      <c r="W16" s="116"/>
    </row>
    <row r="17" spans="1:23">
      <c r="A17" s="107">
        <v>2103</v>
      </c>
      <c r="B17" s="116">
        <v>43119</v>
      </c>
      <c r="C17" s="116">
        <v>43145</v>
      </c>
      <c r="D17" s="116">
        <v>43699</v>
      </c>
      <c r="E17" s="116">
        <v>43817</v>
      </c>
      <c r="F17" s="116"/>
      <c r="G17" s="116"/>
      <c r="H17" s="116"/>
      <c r="I17" s="116"/>
      <c r="J17" s="116"/>
      <c r="K17" s="116"/>
      <c r="L17" s="9">
        <v>47</v>
      </c>
      <c r="M17" s="116">
        <v>43119</v>
      </c>
      <c r="N17" s="9">
        <v>42</v>
      </c>
      <c r="O17" s="116">
        <v>43395</v>
      </c>
      <c r="P17" s="9">
        <v>36</v>
      </c>
      <c r="Q17" s="116">
        <v>43699</v>
      </c>
      <c r="R17" s="9">
        <v>33</v>
      </c>
      <c r="S17" s="116">
        <v>43850</v>
      </c>
      <c r="T17" s="9">
        <v>31</v>
      </c>
      <c r="U17" s="116">
        <v>43934</v>
      </c>
      <c r="V17" s="9"/>
      <c r="W17" s="116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K2" sqref="K2"/>
    </sheetView>
  </sheetViews>
  <sheetFormatPr defaultRowHeight="16.5"/>
  <cols>
    <col min="1" max="1" width="5.625" bestFit="1" customWidth="1"/>
    <col min="3" max="6" width="9.75" bestFit="1" customWidth="1"/>
    <col min="7" max="7" width="16.25" bestFit="1" customWidth="1"/>
    <col min="8" max="8" width="16.5" bestFit="1" customWidth="1"/>
    <col min="9" max="9" width="17.625" bestFit="1" customWidth="1"/>
    <col min="10" max="10" width="11.125" bestFit="1" customWidth="1"/>
  </cols>
  <sheetData>
    <row r="1" spans="1:11">
      <c r="A1" s="1" t="s">
        <v>0</v>
      </c>
      <c r="B1" s="1" t="s">
        <v>435</v>
      </c>
      <c r="C1" s="4" t="s">
        <v>425</v>
      </c>
      <c r="D1" s="4" t="s">
        <v>426</v>
      </c>
      <c r="E1" s="4" t="s">
        <v>427</v>
      </c>
      <c r="F1" s="94" t="s">
        <v>428</v>
      </c>
      <c r="G1" s="94" t="s">
        <v>436</v>
      </c>
      <c r="H1" s="94" t="s">
        <v>437</v>
      </c>
      <c r="I1" s="1" t="s">
        <v>438</v>
      </c>
    </row>
    <row r="2" spans="1:11">
      <c r="A2" s="112">
        <v>1154</v>
      </c>
      <c r="B2" s="112" t="s">
        <v>82</v>
      </c>
      <c r="C2" s="128">
        <v>42089</v>
      </c>
      <c r="D2" s="128">
        <v>42115</v>
      </c>
      <c r="E2" s="128">
        <v>42369</v>
      </c>
      <c r="F2" s="128">
        <v>42516</v>
      </c>
      <c r="G2" s="128">
        <f t="shared" ref="G2:G17" si="0">E2+21</f>
        <v>42390</v>
      </c>
      <c r="H2" s="128">
        <f t="shared" ref="H2:H17" si="1">E2+35</f>
        <v>42404</v>
      </c>
      <c r="I2" s="112">
        <v>147</v>
      </c>
      <c r="K2" s="196"/>
    </row>
    <row r="3" spans="1:11">
      <c r="A3" s="112">
        <v>2131</v>
      </c>
      <c r="B3" s="112" t="s">
        <v>9</v>
      </c>
      <c r="C3" s="128">
        <v>43097</v>
      </c>
      <c r="D3" s="128">
        <v>43123</v>
      </c>
      <c r="E3" s="128">
        <v>43300</v>
      </c>
      <c r="F3" s="128">
        <v>43326</v>
      </c>
      <c r="G3" s="128">
        <f t="shared" si="0"/>
        <v>43321</v>
      </c>
      <c r="H3" s="128">
        <f t="shared" si="1"/>
        <v>43335</v>
      </c>
      <c r="I3" s="112">
        <v>26</v>
      </c>
    </row>
    <row r="4" spans="1:11">
      <c r="A4" s="112">
        <v>2287</v>
      </c>
      <c r="B4" s="112">
        <v>2287</v>
      </c>
      <c r="C4" s="128">
        <v>43321</v>
      </c>
      <c r="D4" s="128">
        <v>43347</v>
      </c>
      <c r="E4" s="128">
        <v>43462</v>
      </c>
      <c r="F4" s="128">
        <v>43488</v>
      </c>
      <c r="G4" s="128">
        <f t="shared" si="0"/>
        <v>43483</v>
      </c>
      <c r="H4" s="128">
        <f t="shared" si="1"/>
        <v>43497</v>
      </c>
      <c r="I4" s="112">
        <v>26</v>
      </c>
    </row>
    <row r="5" spans="1:11">
      <c r="A5" s="112">
        <v>2081</v>
      </c>
      <c r="B5" s="112" t="s">
        <v>1</v>
      </c>
      <c r="C5" s="128">
        <v>43035</v>
      </c>
      <c r="D5" s="128">
        <v>43061</v>
      </c>
      <c r="E5" s="128">
        <v>43517</v>
      </c>
      <c r="F5" s="128">
        <v>43543</v>
      </c>
      <c r="G5" s="128">
        <f t="shared" si="0"/>
        <v>43538</v>
      </c>
      <c r="H5" s="128">
        <f t="shared" si="1"/>
        <v>43552</v>
      </c>
      <c r="I5" s="112">
        <v>26</v>
      </c>
    </row>
    <row r="6" spans="1:11">
      <c r="A6" s="112">
        <v>2484</v>
      </c>
      <c r="B6" s="112">
        <v>2484</v>
      </c>
      <c r="C6" s="128">
        <v>43567</v>
      </c>
      <c r="D6" s="128">
        <v>43593</v>
      </c>
      <c r="E6" s="128">
        <v>43705</v>
      </c>
      <c r="F6" s="128">
        <v>43754</v>
      </c>
      <c r="G6" s="128">
        <f t="shared" si="0"/>
        <v>43726</v>
      </c>
      <c r="H6" s="128">
        <f t="shared" si="1"/>
        <v>43740</v>
      </c>
      <c r="I6" s="112">
        <v>49</v>
      </c>
    </row>
    <row r="7" spans="1:11">
      <c r="A7" s="112">
        <v>1265</v>
      </c>
      <c r="B7" s="112" t="s">
        <v>5</v>
      </c>
      <c r="C7" s="128">
        <v>42111</v>
      </c>
      <c r="D7" s="128">
        <v>42137</v>
      </c>
      <c r="E7" s="128">
        <v>42454</v>
      </c>
      <c r="F7" s="128">
        <v>42480</v>
      </c>
      <c r="G7" s="128">
        <f t="shared" si="0"/>
        <v>42475</v>
      </c>
      <c r="H7" s="128">
        <f t="shared" si="1"/>
        <v>42489</v>
      </c>
      <c r="I7" s="112">
        <v>26</v>
      </c>
    </row>
    <row r="8" spans="1:11">
      <c r="A8" s="112">
        <v>1270</v>
      </c>
      <c r="B8" s="112" t="s">
        <v>7</v>
      </c>
      <c r="C8" s="128">
        <v>42159</v>
      </c>
      <c r="D8" s="128">
        <v>42185</v>
      </c>
      <c r="E8" s="128">
        <v>42481</v>
      </c>
      <c r="F8" s="128">
        <v>42507</v>
      </c>
      <c r="G8" s="128">
        <f t="shared" si="0"/>
        <v>42502</v>
      </c>
      <c r="H8" s="128">
        <f t="shared" si="1"/>
        <v>42516</v>
      </c>
      <c r="I8" s="112">
        <v>26</v>
      </c>
    </row>
    <row r="9" spans="1:11">
      <c r="A9" s="112">
        <v>1186</v>
      </c>
      <c r="B9" s="112" t="s">
        <v>3</v>
      </c>
      <c r="C9" s="128">
        <v>42117</v>
      </c>
      <c r="D9" s="128">
        <v>42143</v>
      </c>
      <c r="E9" s="128">
        <v>42489</v>
      </c>
      <c r="F9" s="128">
        <v>42515</v>
      </c>
      <c r="G9" s="128">
        <f t="shared" si="0"/>
        <v>42510</v>
      </c>
      <c r="H9" s="128">
        <f t="shared" si="1"/>
        <v>42524</v>
      </c>
      <c r="I9" s="112">
        <v>26</v>
      </c>
    </row>
    <row r="10" spans="1:11">
      <c r="A10" s="112">
        <v>1701</v>
      </c>
      <c r="B10" s="112" t="s">
        <v>4</v>
      </c>
      <c r="C10" s="128">
        <v>42524</v>
      </c>
      <c r="D10" s="128">
        <v>42550</v>
      </c>
      <c r="E10" s="128">
        <v>42874</v>
      </c>
      <c r="F10" s="128">
        <v>42900</v>
      </c>
      <c r="G10" s="128">
        <f t="shared" si="0"/>
        <v>42895</v>
      </c>
      <c r="H10" s="128">
        <f t="shared" si="1"/>
        <v>42909</v>
      </c>
      <c r="I10" s="112">
        <v>26</v>
      </c>
    </row>
    <row r="11" spans="1:11">
      <c r="A11" s="112">
        <v>2039</v>
      </c>
      <c r="B11" s="112" t="s">
        <v>8</v>
      </c>
      <c r="C11" s="128">
        <v>42972</v>
      </c>
      <c r="D11" s="128">
        <v>42998</v>
      </c>
      <c r="E11" s="128">
        <v>43224</v>
      </c>
      <c r="F11" s="128">
        <v>43250</v>
      </c>
      <c r="G11" s="128">
        <f t="shared" si="0"/>
        <v>43245</v>
      </c>
      <c r="H11" s="128">
        <f t="shared" si="1"/>
        <v>43259</v>
      </c>
      <c r="I11" s="112">
        <v>26</v>
      </c>
    </row>
    <row r="12" spans="1:11">
      <c r="A12" s="112">
        <v>2102</v>
      </c>
      <c r="B12" s="112" t="s">
        <v>6</v>
      </c>
      <c r="C12" s="128">
        <v>43062</v>
      </c>
      <c r="D12" s="128">
        <v>43088</v>
      </c>
      <c r="E12" s="128">
        <v>43406</v>
      </c>
      <c r="F12" s="128">
        <v>43432</v>
      </c>
      <c r="G12" s="128">
        <f t="shared" si="0"/>
        <v>43427</v>
      </c>
      <c r="H12" s="128">
        <f t="shared" si="1"/>
        <v>43441</v>
      </c>
      <c r="I12" s="112">
        <v>26</v>
      </c>
    </row>
    <row r="13" spans="1:11">
      <c r="A13" s="112">
        <v>2272</v>
      </c>
      <c r="B13" s="112" t="s">
        <v>11</v>
      </c>
      <c r="C13" s="128">
        <v>43300</v>
      </c>
      <c r="D13" s="128">
        <v>43326</v>
      </c>
      <c r="E13" s="128">
        <v>43454</v>
      </c>
      <c r="F13" s="128">
        <v>43480</v>
      </c>
      <c r="G13" s="128">
        <f t="shared" si="0"/>
        <v>43475</v>
      </c>
      <c r="H13" s="128">
        <f t="shared" si="1"/>
        <v>43489</v>
      </c>
      <c r="I13" s="112">
        <v>26</v>
      </c>
    </row>
    <row r="14" spans="1:11">
      <c r="A14" s="112">
        <v>1984</v>
      </c>
      <c r="B14" s="112" t="s">
        <v>2</v>
      </c>
      <c r="C14" s="128">
        <v>43027</v>
      </c>
      <c r="D14" s="128">
        <v>43053</v>
      </c>
      <c r="E14" s="128">
        <v>43518</v>
      </c>
      <c r="F14" s="128">
        <v>43544</v>
      </c>
      <c r="G14" s="128">
        <f t="shared" si="0"/>
        <v>43539</v>
      </c>
      <c r="H14" s="128">
        <f t="shared" si="1"/>
        <v>43553</v>
      </c>
      <c r="I14" s="112">
        <v>26</v>
      </c>
    </row>
    <row r="15" spans="1:11">
      <c r="A15" s="112">
        <v>2335</v>
      </c>
      <c r="B15" s="112" t="s">
        <v>10</v>
      </c>
      <c r="C15" s="128">
        <v>43385</v>
      </c>
      <c r="D15" s="128">
        <v>43411</v>
      </c>
      <c r="E15" s="128">
        <v>43559</v>
      </c>
      <c r="F15" s="128">
        <v>43595</v>
      </c>
      <c r="G15" s="128">
        <f t="shared" si="0"/>
        <v>43580</v>
      </c>
      <c r="H15" s="128">
        <f t="shared" si="1"/>
        <v>43594</v>
      </c>
      <c r="I15" s="112">
        <v>36</v>
      </c>
    </row>
    <row r="16" spans="1:11">
      <c r="A16" s="112">
        <v>2383</v>
      </c>
      <c r="B16" s="112" t="s">
        <v>12</v>
      </c>
      <c r="C16" s="128">
        <v>43454</v>
      </c>
      <c r="D16" s="128">
        <v>43480</v>
      </c>
      <c r="E16" s="128">
        <v>43707</v>
      </c>
      <c r="F16" s="128">
        <v>43746</v>
      </c>
      <c r="G16" s="128">
        <f t="shared" si="0"/>
        <v>43728</v>
      </c>
      <c r="H16" s="128">
        <f t="shared" si="1"/>
        <v>43742</v>
      </c>
      <c r="I16" s="112">
        <v>39</v>
      </c>
    </row>
    <row r="17" spans="1:9">
      <c r="A17" s="112">
        <v>2103</v>
      </c>
      <c r="B17" s="112" t="s">
        <v>13</v>
      </c>
      <c r="C17" s="128">
        <v>43119</v>
      </c>
      <c r="D17" s="128">
        <v>43145</v>
      </c>
      <c r="E17" s="128">
        <v>43699</v>
      </c>
      <c r="F17" s="128">
        <v>43817</v>
      </c>
      <c r="G17" s="128">
        <f t="shared" si="0"/>
        <v>43720</v>
      </c>
      <c r="H17" s="128">
        <f t="shared" si="1"/>
        <v>43734</v>
      </c>
      <c r="I17" s="112">
        <v>118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M36" sqref="M36"/>
    </sheetView>
  </sheetViews>
  <sheetFormatPr defaultRowHeight="16.5"/>
  <sheetData>
    <row r="1" spans="1:10">
      <c r="A1" s="1" t="s">
        <v>0</v>
      </c>
      <c r="B1" s="1" t="s">
        <v>441</v>
      </c>
      <c r="C1" s="4" t="s">
        <v>425</v>
      </c>
      <c r="D1" s="4" t="s">
        <v>426</v>
      </c>
      <c r="E1" s="4" t="s">
        <v>427</v>
      </c>
      <c r="F1" s="94" t="s">
        <v>428</v>
      </c>
      <c r="G1" s="94" t="s">
        <v>442</v>
      </c>
      <c r="H1" s="94" t="s">
        <v>443</v>
      </c>
      <c r="I1" s="1" t="s">
        <v>438</v>
      </c>
      <c r="J1" s="1" t="s">
        <v>439</v>
      </c>
    </row>
    <row r="2" spans="1:10">
      <c r="A2" s="112">
        <v>1154</v>
      </c>
      <c r="B2" s="112" t="s">
        <v>82</v>
      </c>
      <c r="C2" s="128">
        <v>29</v>
      </c>
      <c r="D2" s="128">
        <v>42115</v>
      </c>
      <c r="E2" s="128">
        <v>42369</v>
      </c>
      <c r="F2" s="128">
        <v>42516</v>
      </c>
      <c r="G2" s="128">
        <v>42390</v>
      </c>
      <c r="H2" s="128">
        <v>42404</v>
      </c>
      <c r="I2" s="112">
        <v>147</v>
      </c>
      <c r="J2" s="112" t="s">
        <v>440</v>
      </c>
    </row>
    <row r="3" spans="1:10">
      <c r="A3" s="112">
        <v>2131</v>
      </c>
      <c r="B3" s="112" t="s">
        <v>9</v>
      </c>
      <c r="C3" s="128">
        <v>32</v>
      </c>
      <c r="D3" s="128">
        <v>43123</v>
      </c>
      <c r="E3" s="128">
        <v>43300</v>
      </c>
      <c r="F3" s="128">
        <v>43326</v>
      </c>
      <c r="G3" s="128">
        <v>43321</v>
      </c>
      <c r="H3" s="128">
        <v>43335</v>
      </c>
      <c r="I3" s="112">
        <v>26</v>
      </c>
      <c r="J3" s="112" t="s">
        <v>440</v>
      </c>
    </row>
    <row r="4" spans="1:10">
      <c r="A4" s="112">
        <v>2287</v>
      </c>
      <c r="B4" s="112">
        <v>2287</v>
      </c>
      <c r="C4" s="128">
        <v>40</v>
      </c>
      <c r="D4" s="128">
        <v>38</v>
      </c>
      <c r="E4" s="191">
        <v>31</v>
      </c>
      <c r="F4" s="191">
        <v>32</v>
      </c>
      <c r="G4" s="128">
        <v>43483</v>
      </c>
      <c r="H4" s="128">
        <v>43497</v>
      </c>
      <c r="I4" s="192">
        <v>26</v>
      </c>
      <c r="J4" s="192">
        <v>32</v>
      </c>
    </row>
    <row r="5" spans="1:10">
      <c r="A5" s="112">
        <v>2081</v>
      </c>
      <c r="B5" s="112" t="s">
        <v>1</v>
      </c>
      <c r="C5" s="128">
        <v>31</v>
      </c>
      <c r="D5" s="128">
        <v>31</v>
      </c>
      <c r="E5" s="191">
        <v>24</v>
      </c>
      <c r="F5" s="191">
        <v>24</v>
      </c>
      <c r="G5" s="128">
        <v>43538</v>
      </c>
      <c r="H5" s="128">
        <v>43552</v>
      </c>
      <c r="I5" s="192">
        <v>26</v>
      </c>
      <c r="J5" s="192">
        <v>24</v>
      </c>
    </row>
    <row r="6" spans="1:10">
      <c r="A6" s="112">
        <v>2484</v>
      </c>
      <c r="B6" s="112">
        <v>2484</v>
      </c>
      <c r="C6" s="128">
        <v>45</v>
      </c>
      <c r="D6" s="128">
        <v>45</v>
      </c>
      <c r="E6" s="128">
        <v>43</v>
      </c>
      <c r="F6" s="128">
        <v>43754</v>
      </c>
      <c r="G6" s="128">
        <v>43726</v>
      </c>
      <c r="H6" s="128">
        <v>43740</v>
      </c>
      <c r="I6" s="112">
        <v>49</v>
      </c>
      <c r="J6" s="112" t="s">
        <v>440</v>
      </c>
    </row>
    <row r="7" spans="1:10">
      <c r="A7" s="112">
        <v>1265</v>
      </c>
      <c r="B7" s="112" t="s">
        <v>5</v>
      </c>
      <c r="C7" s="128">
        <v>34</v>
      </c>
      <c r="D7" s="128">
        <v>42137</v>
      </c>
      <c r="E7" s="191">
        <v>33</v>
      </c>
      <c r="F7" s="191">
        <v>31</v>
      </c>
      <c r="G7" s="128">
        <v>42475</v>
      </c>
      <c r="H7" s="128">
        <v>42489</v>
      </c>
      <c r="I7" s="192">
        <v>26</v>
      </c>
      <c r="J7" s="192">
        <v>31</v>
      </c>
    </row>
    <row r="8" spans="1:10">
      <c r="A8" s="112">
        <v>1270</v>
      </c>
      <c r="B8" s="112" t="s">
        <v>7</v>
      </c>
      <c r="C8" s="128">
        <v>39</v>
      </c>
      <c r="D8" s="128">
        <v>42185</v>
      </c>
      <c r="E8" s="128">
        <v>42481</v>
      </c>
      <c r="F8" s="128">
        <v>42507</v>
      </c>
      <c r="G8" s="128">
        <v>42502</v>
      </c>
      <c r="H8" s="128">
        <v>42516</v>
      </c>
      <c r="I8" s="112">
        <v>26</v>
      </c>
      <c r="J8" s="112" t="s">
        <v>440</v>
      </c>
    </row>
    <row r="9" spans="1:10">
      <c r="A9" s="112">
        <v>1186</v>
      </c>
      <c r="B9" s="112" t="s">
        <v>3</v>
      </c>
      <c r="C9" s="128">
        <v>26</v>
      </c>
      <c r="D9" s="128">
        <v>25</v>
      </c>
      <c r="E9" s="128">
        <v>25</v>
      </c>
      <c r="F9" s="128">
        <v>42515</v>
      </c>
      <c r="G9" s="128">
        <v>42510</v>
      </c>
      <c r="H9" s="128">
        <v>42524</v>
      </c>
      <c r="I9" s="112">
        <v>26</v>
      </c>
      <c r="J9" s="112" t="s">
        <v>440</v>
      </c>
    </row>
    <row r="10" spans="1:10">
      <c r="A10" s="112">
        <v>1701</v>
      </c>
      <c r="B10" s="112" t="s">
        <v>4</v>
      </c>
      <c r="C10" s="128">
        <v>41</v>
      </c>
      <c r="D10" s="128">
        <v>42550</v>
      </c>
      <c r="E10" s="128">
        <v>40</v>
      </c>
      <c r="F10" s="128">
        <v>42900</v>
      </c>
      <c r="G10" s="128">
        <v>42895</v>
      </c>
      <c r="H10" s="128">
        <v>42909</v>
      </c>
      <c r="I10" s="112">
        <v>26</v>
      </c>
      <c r="J10" s="112" t="s">
        <v>440</v>
      </c>
    </row>
    <row r="11" spans="1:10">
      <c r="A11" s="112">
        <v>2039</v>
      </c>
      <c r="B11" s="112" t="s">
        <v>8</v>
      </c>
      <c r="C11" s="128">
        <v>40</v>
      </c>
      <c r="D11" s="128">
        <v>42998</v>
      </c>
      <c r="E11" s="128">
        <v>43224</v>
      </c>
      <c r="F11" s="128">
        <v>43250</v>
      </c>
      <c r="G11" s="128">
        <v>43245</v>
      </c>
      <c r="H11" s="128">
        <v>43259</v>
      </c>
      <c r="I11" s="112">
        <v>26</v>
      </c>
      <c r="J11" s="112" t="s">
        <v>440</v>
      </c>
    </row>
    <row r="12" spans="1:10">
      <c r="A12" s="112">
        <v>2102</v>
      </c>
      <c r="B12" s="112" t="s">
        <v>6</v>
      </c>
      <c r="C12" s="128">
        <v>33</v>
      </c>
      <c r="D12" s="128">
        <v>43088</v>
      </c>
      <c r="E12" s="128">
        <v>43406</v>
      </c>
      <c r="F12" s="128">
        <v>27</v>
      </c>
      <c r="G12" s="128">
        <v>43427</v>
      </c>
      <c r="H12" s="128">
        <v>43441</v>
      </c>
      <c r="I12" s="112">
        <v>26</v>
      </c>
      <c r="J12" s="112">
        <v>27</v>
      </c>
    </row>
    <row r="13" spans="1:10">
      <c r="A13" s="112">
        <v>2272</v>
      </c>
      <c r="B13" s="112" t="s">
        <v>11</v>
      </c>
      <c r="C13" s="128">
        <v>46</v>
      </c>
      <c r="D13" s="128">
        <v>43326</v>
      </c>
      <c r="E13" s="128">
        <v>45</v>
      </c>
      <c r="F13" s="128">
        <v>43480</v>
      </c>
      <c r="G13" s="128">
        <v>43475</v>
      </c>
      <c r="H13" s="128">
        <v>43489</v>
      </c>
      <c r="I13" s="112">
        <v>26</v>
      </c>
      <c r="J13" s="112" t="s">
        <v>440</v>
      </c>
    </row>
    <row r="14" spans="1:10">
      <c r="A14" s="112">
        <v>1984</v>
      </c>
      <c r="B14" s="112" t="s">
        <v>2</v>
      </c>
      <c r="C14" s="128">
        <v>43</v>
      </c>
      <c r="D14" s="128">
        <v>43053</v>
      </c>
      <c r="E14" s="128">
        <v>21</v>
      </c>
      <c r="F14" s="128">
        <v>43544</v>
      </c>
      <c r="G14" s="128">
        <v>43539</v>
      </c>
      <c r="H14" s="128">
        <v>43553</v>
      </c>
      <c r="I14" s="112">
        <v>26</v>
      </c>
      <c r="J14" s="112" t="s">
        <v>440</v>
      </c>
    </row>
    <row r="15" spans="1:10">
      <c r="A15" s="112">
        <v>2335</v>
      </c>
      <c r="B15" s="112" t="s">
        <v>10</v>
      </c>
      <c r="C15" s="128">
        <v>39</v>
      </c>
      <c r="D15" s="128">
        <v>40</v>
      </c>
      <c r="E15" s="191">
        <v>37</v>
      </c>
      <c r="F15" s="191">
        <v>36</v>
      </c>
      <c r="G15" s="128">
        <v>43580</v>
      </c>
      <c r="H15" s="128">
        <v>43594</v>
      </c>
      <c r="I15" s="192">
        <v>36</v>
      </c>
      <c r="J15" s="112" t="s">
        <v>440</v>
      </c>
    </row>
    <row r="16" spans="1:10">
      <c r="A16" s="112">
        <v>2383</v>
      </c>
      <c r="B16" s="112" t="s">
        <v>12</v>
      </c>
      <c r="C16" s="128">
        <v>43</v>
      </c>
      <c r="D16" s="128">
        <v>43</v>
      </c>
      <c r="E16" s="191">
        <v>39</v>
      </c>
      <c r="F16" s="191">
        <v>39</v>
      </c>
      <c r="G16" s="128">
        <v>43728</v>
      </c>
      <c r="H16" s="128">
        <v>43742</v>
      </c>
      <c r="I16" s="192">
        <v>39</v>
      </c>
      <c r="J16" s="112" t="s">
        <v>440</v>
      </c>
    </row>
    <row r="17" spans="1:10">
      <c r="A17" s="112">
        <v>2103</v>
      </c>
      <c r="B17" s="112" t="s">
        <v>13</v>
      </c>
      <c r="C17" s="128">
        <v>47</v>
      </c>
      <c r="D17" s="128">
        <v>43145</v>
      </c>
      <c r="E17" s="191">
        <v>36</v>
      </c>
      <c r="F17" s="191">
        <v>36</v>
      </c>
      <c r="G17" s="128">
        <v>43720</v>
      </c>
      <c r="H17" s="128">
        <v>43734</v>
      </c>
      <c r="I17" s="192">
        <v>118</v>
      </c>
      <c r="J17" s="192">
        <v>36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C36" sqref="C36"/>
    </sheetView>
  </sheetViews>
  <sheetFormatPr defaultRowHeight="16.5"/>
  <cols>
    <col min="1" max="1" width="5.625" bestFit="1" customWidth="1"/>
    <col min="2" max="9" width="15.625" customWidth="1"/>
  </cols>
  <sheetData>
    <row r="1" spans="1:9">
      <c r="A1" s="1" t="s">
        <v>0</v>
      </c>
      <c r="B1" s="4" t="s">
        <v>425</v>
      </c>
      <c r="C1" s="4" t="s">
        <v>426</v>
      </c>
      <c r="D1" s="4" t="s">
        <v>427</v>
      </c>
      <c r="E1" s="94" t="s">
        <v>428</v>
      </c>
      <c r="F1" s="10" t="s">
        <v>211</v>
      </c>
      <c r="G1" s="94" t="s">
        <v>212</v>
      </c>
      <c r="H1" s="10" t="s">
        <v>213</v>
      </c>
      <c r="I1" s="10" t="s">
        <v>214</v>
      </c>
    </row>
    <row r="2" spans="1:9">
      <c r="A2" s="112">
        <v>2484</v>
      </c>
      <c r="B2" s="116">
        <v>43567</v>
      </c>
      <c r="C2" s="116">
        <v>43593</v>
      </c>
      <c r="D2" s="116">
        <v>43705</v>
      </c>
      <c r="E2" s="116">
        <v>43754</v>
      </c>
      <c r="F2" s="116">
        <v>43567</v>
      </c>
      <c r="G2" s="116">
        <v>43593</v>
      </c>
      <c r="H2" s="116">
        <v>43705</v>
      </c>
      <c r="I2" s="116">
        <v>43754</v>
      </c>
    </row>
    <row r="3" spans="1:9">
      <c r="A3" s="112">
        <v>2383</v>
      </c>
      <c r="B3" s="116">
        <v>43454</v>
      </c>
      <c r="C3" s="116">
        <v>43480</v>
      </c>
      <c r="D3" s="116">
        <v>43707</v>
      </c>
      <c r="E3" s="116">
        <v>43746</v>
      </c>
      <c r="F3" s="116">
        <v>43454</v>
      </c>
      <c r="G3" s="116">
        <v>43480</v>
      </c>
      <c r="H3" s="116">
        <v>43707</v>
      </c>
      <c r="I3" s="116">
        <v>43746</v>
      </c>
    </row>
    <row r="4" spans="1:9">
      <c r="A4" s="112">
        <v>2335</v>
      </c>
      <c r="B4" s="116">
        <v>43385</v>
      </c>
      <c r="C4" s="116">
        <v>43411</v>
      </c>
      <c r="D4" s="116">
        <v>43559</v>
      </c>
      <c r="E4" s="116">
        <v>43595</v>
      </c>
      <c r="F4" s="116">
        <v>43385</v>
      </c>
      <c r="G4" s="116">
        <v>43411</v>
      </c>
      <c r="H4" s="116">
        <v>43559</v>
      </c>
      <c r="I4" s="116">
        <v>43595</v>
      </c>
    </row>
    <row r="5" spans="1:9">
      <c r="A5" s="112">
        <v>2287</v>
      </c>
      <c r="B5" s="116">
        <v>43321</v>
      </c>
      <c r="C5" s="116">
        <v>43347</v>
      </c>
      <c r="D5" s="116">
        <v>43462</v>
      </c>
      <c r="E5" s="116">
        <v>43488</v>
      </c>
      <c r="F5" s="116">
        <v>43321</v>
      </c>
      <c r="G5" s="116">
        <v>43347</v>
      </c>
      <c r="H5" s="116">
        <v>43462</v>
      </c>
      <c r="I5" s="116">
        <v>43488</v>
      </c>
    </row>
    <row r="6" spans="1:9">
      <c r="A6" s="112">
        <v>2272</v>
      </c>
      <c r="B6" s="116">
        <v>43300</v>
      </c>
      <c r="C6" s="116">
        <v>43326</v>
      </c>
      <c r="D6" s="116">
        <v>43454</v>
      </c>
      <c r="E6" s="116">
        <v>43480</v>
      </c>
      <c r="F6" s="116" t="s">
        <v>99</v>
      </c>
      <c r="G6" s="116" t="s">
        <v>100</v>
      </c>
      <c r="H6" s="116">
        <v>43454</v>
      </c>
      <c r="I6" s="116">
        <v>43480</v>
      </c>
    </row>
    <row r="7" spans="1:9">
      <c r="A7" s="112">
        <v>2131</v>
      </c>
      <c r="B7" s="116">
        <v>43097</v>
      </c>
      <c r="C7" s="116">
        <v>43123</v>
      </c>
      <c r="D7" s="116">
        <v>43300</v>
      </c>
      <c r="E7" s="116">
        <v>43326</v>
      </c>
      <c r="F7" s="116" t="s">
        <v>97</v>
      </c>
      <c r="G7" s="116" t="s">
        <v>98</v>
      </c>
      <c r="H7" s="116">
        <v>43300</v>
      </c>
      <c r="I7" s="116">
        <v>43326</v>
      </c>
    </row>
    <row r="8" spans="1:9">
      <c r="A8" s="112">
        <v>2103</v>
      </c>
      <c r="B8" s="116">
        <v>43119</v>
      </c>
      <c r="C8" s="116">
        <v>43145</v>
      </c>
      <c r="D8" s="116">
        <v>43699</v>
      </c>
      <c r="E8" s="116">
        <v>43817</v>
      </c>
      <c r="F8" s="116">
        <v>43119</v>
      </c>
      <c r="G8" s="116">
        <v>43145</v>
      </c>
      <c r="H8" s="116">
        <v>43699</v>
      </c>
      <c r="I8" s="116">
        <v>43817</v>
      </c>
    </row>
    <row r="9" spans="1:9">
      <c r="A9" s="112">
        <v>2102</v>
      </c>
      <c r="B9" s="116">
        <v>43062</v>
      </c>
      <c r="C9" s="116">
        <v>43088</v>
      </c>
      <c r="D9" s="116">
        <v>43406</v>
      </c>
      <c r="E9" s="116">
        <v>43432</v>
      </c>
      <c r="F9" s="116" t="s">
        <v>91</v>
      </c>
      <c r="G9" s="116" t="s">
        <v>92</v>
      </c>
      <c r="H9" s="116">
        <v>43406</v>
      </c>
      <c r="I9" s="116">
        <v>43432</v>
      </c>
    </row>
    <row r="10" spans="1:9">
      <c r="A10" s="112">
        <v>2081</v>
      </c>
      <c r="B10" s="116">
        <v>43035</v>
      </c>
      <c r="C10" s="116">
        <v>43061</v>
      </c>
      <c r="D10" s="116">
        <v>43517</v>
      </c>
      <c r="E10" s="116">
        <v>43543</v>
      </c>
      <c r="F10" s="116">
        <v>43035</v>
      </c>
      <c r="G10" s="116">
        <v>43061</v>
      </c>
      <c r="H10" s="116">
        <v>43517</v>
      </c>
      <c r="I10" s="116">
        <v>43543</v>
      </c>
    </row>
    <row r="11" spans="1:9">
      <c r="A11" s="112">
        <v>2039</v>
      </c>
      <c r="B11" s="116">
        <v>42972</v>
      </c>
      <c r="C11" s="116">
        <v>42998</v>
      </c>
      <c r="D11" s="116">
        <v>43224</v>
      </c>
      <c r="E11" s="116">
        <v>43250</v>
      </c>
      <c r="F11" s="116" t="s">
        <v>95</v>
      </c>
      <c r="G11" s="116" t="s">
        <v>96</v>
      </c>
      <c r="H11" s="116">
        <v>43224</v>
      </c>
      <c r="I11" s="116">
        <v>43250</v>
      </c>
    </row>
    <row r="12" spans="1:9">
      <c r="A12" s="112">
        <v>1984</v>
      </c>
      <c r="B12" s="116">
        <v>43027</v>
      </c>
      <c r="C12" s="116">
        <v>43053</v>
      </c>
      <c r="D12" s="116">
        <v>43518</v>
      </c>
      <c r="E12" s="116">
        <v>43544</v>
      </c>
      <c r="F12" s="116" t="s">
        <v>83</v>
      </c>
      <c r="G12" s="116" t="s">
        <v>84</v>
      </c>
      <c r="H12" s="116">
        <v>43518</v>
      </c>
      <c r="I12" s="116">
        <v>43544</v>
      </c>
    </row>
    <row r="13" spans="1:9">
      <c r="A13" s="112">
        <v>1701</v>
      </c>
      <c r="B13" s="116">
        <v>42524</v>
      </c>
      <c r="C13" s="116">
        <v>42550</v>
      </c>
      <c r="D13" s="116">
        <v>42874</v>
      </c>
      <c r="E13" s="116">
        <v>42900</v>
      </c>
      <c r="F13" s="116" t="s">
        <v>87</v>
      </c>
      <c r="G13" s="116" t="s">
        <v>88</v>
      </c>
      <c r="H13" s="116">
        <v>42874</v>
      </c>
      <c r="I13" s="116">
        <v>42900</v>
      </c>
    </row>
    <row r="14" spans="1:9">
      <c r="A14" s="112">
        <v>1270</v>
      </c>
      <c r="B14" s="116">
        <v>42159</v>
      </c>
      <c r="C14" s="116">
        <v>42185</v>
      </c>
      <c r="D14" s="116">
        <v>42481</v>
      </c>
      <c r="E14" s="116">
        <v>42507</v>
      </c>
      <c r="F14" s="116" t="s">
        <v>93</v>
      </c>
      <c r="G14" s="116" t="s">
        <v>94</v>
      </c>
      <c r="H14" s="116">
        <v>42481</v>
      </c>
      <c r="I14" s="116">
        <v>42507</v>
      </c>
    </row>
    <row r="15" spans="1:9">
      <c r="A15" s="112">
        <v>1265</v>
      </c>
      <c r="B15" s="116">
        <v>42111</v>
      </c>
      <c r="C15" s="116">
        <v>42137</v>
      </c>
      <c r="D15" s="116">
        <v>42454</v>
      </c>
      <c r="E15" s="116">
        <v>42480</v>
      </c>
      <c r="F15" s="116" t="s">
        <v>89</v>
      </c>
      <c r="G15" s="116" t="s">
        <v>90</v>
      </c>
      <c r="H15" s="116">
        <v>42454</v>
      </c>
      <c r="I15" s="116">
        <v>42480</v>
      </c>
    </row>
    <row r="16" spans="1:9">
      <c r="A16" s="112">
        <v>1186</v>
      </c>
      <c r="B16" s="116">
        <v>42117</v>
      </c>
      <c r="C16" s="116">
        <v>42143</v>
      </c>
      <c r="D16" s="116">
        <v>42489</v>
      </c>
      <c r="E16" s="116">
        <v>42515</v>
      </c>
      <c r="F16" s="116" t="s">
        <v>85</v>
      </c>
      <c r="G16" s="116" t="s">
        <v>86</v>
      </c>
      <c r="H16" s="116">
        <v>42489</v>
      </c>
      <c r="I16" s="116">
        <v>42515</v>
      </c>
    </row>
    <row r="17" spans="1:9">
      <c r="A17" s="112">
        <v>1154</v>
      </c>
      <c r="B17" s="116">
        <v>42089</v>
      </c>
      <c r="C17" s="193">
        <v>42115</v>
      </c>
      <c r="D17" s="193">
        <v>42369</v>
      </c>
      <c r="E17" s="193">
        <v>42516</v>
      </c>
      <c r="F17" s="116" t="s">
        <v>424</v>
      </c>
      <c r="G17" s="193">
        <v>42823</v>
      </c>
      <c r="H17" s="193">
        <v>42984</v>
      </c>
      <c r="I17" s="193">
        <v>43150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Views>
    <sheetView workbookViewId="0">
      <selection activeCell="R16" sqref="R16"/>
    </sheetView>
  </sheetViews>
  <sheetFormatPr defaultRowHeight="16.5"/>
  <cols>
    <col min="1" max="1" width="5.625" bestFit="1" customWidth="1"/>
    <col min="2" max="5" width="9.75" bestFit="1" customWidth="1"/>
    <col min="6" max="6" width="17.375" bestFit="1" customWidth="1"/>
    <col min="7" max="7" width="16.125" bestFit="1" customWidth="1"/>
    <col min="8" max="8" width="16.75" bestFit="1" customWidth="1"/>
    <col min="9" max="9" width="16.375" bestFit="1" customWidth="1"/>
    <col min="10" max="10" width="8.75" bestFit="1" customWidth="1"/>
    <col min="11" max="11" width="7.625" bestFit="1" customWidth="1"/>
    <col min="12" max="12" width="8.25" bestFit="1" customWidth="1"/>
    <col min="13" max="13" width="7.875" bestFit="1" customWidth="1"/>
    <col min="14" max="14" width="9.75" bestFit="1" customWidth="1"/>
    <col min="15" max="15" width="8.625" bestFit="1" customWidth="1"/>
    <col min="16" max="16" width="9.25" bestFit="1" customWidth="1"/>
    <col min="17" max="17" width="8.875" bestFit="1" customWidth="1"/>
    <col min="18" max="18" width="8.75" bestFit="1" customWidth="1"/>
    <col min="19" max="19" width="7.625" bestFit="1" customWidth="1"/>
    <col min="20" max="20" width="8.25" bestFit="1" customWidth="1"/>
    <col min="21" max="21" width="7.875" bestFit="1" customWidth="1"/>
    <col min="22" max="22" width="11.125" bestFit="1" customWidth="1"/>
    <col min="23" max="23" width="9.875" bestFit="1" customWidth="1"/>
    <col min="24" max="24" width="10.5" bestFit="1" customWidth="1"/>
    <col min="25" max="25" width="10.125" bestFit="1" customWidth="1"/>
  </cols>
  <sheetData>
    <row r="1" spans="1:25">
      <c r="A1" s="1" t="s">
        <v>0</v>
      </c>
      <c r="B1" s="4" t="s">
        <v>425</v>
      </c>
      <c r="C1" s="4" t="s">
        <v>426</v>
      </c>
      <c r="D1" s="4" t="s">
        <v>427</v>
      </c>
      <c r="E1" s="94" t="s">
        <v>428</v>
      </c>
      <c r="F1" s="10" t="s">
        <v>211</v>
      </c>
      <c r="G1" s="94" t="s">
        <v>212</v>
      </c>
      <c r="H1" s="10" t="s">
        <v>213</v>
      </c>
      <c r="I1" s="10" t="s">
        <v>214</v>
      </c>
      <c r="J1" s="96" t="s">
        <v>229</v>
      </c>
      <c r="K1" s="96" t="s">
        <v>230</v>
      </c>
      <c r="L1" s="96" t="s">
        <v>231</v>
      </c>
      <c r="M1" s="96" t="s">
        <v>232</v>
      </c>
      <c r="N1" s="96" t="s">
        <v>238</v>
      </c>
      <c r="O1" s="96" t="s">
        <v>239</v>
      </c>
      <c r="P1" s="96" t="s">
        <v>240</v>
      </c>
      <c r="Q1" s="96" t="s">
        <v>241</v>
      </c>
      <c r="R1" s="96" t="s">
        <v>247</v>
      </c>
      <c r="S1" s="96" t="s">
        <v>248</v>
      </c>
      <c r="T1" s="96" t="s">
        <v>249</v>
      </c>
      <c r="U1" s="96" t="s">
        <v>250</v>
      </c>
      <c r="V1" s="96" t="s">
        <v>256</v>
      </c>
      <c r="W1" s="96" t="s">
        <v>257</v>
      </c>
      <c r="X1" s="96" t="s">
        <v>258</v>
      </c>
      <c r="Y1" s="96" t="s">
        <v>259</v>
      </c>
    </row>
    <row r="2" spans="1:25">
      <c r="A2" s="112">
        <v>2131</v>
      </c>
      <c r="B2" s="128">
        <v>43097</v>
      </c>
      <c r="C2" s="128">
        <v>43123</v>
      </c>
      <c r="D2" s="128">
        <v>43300</v>
      </c>
      <c r="E2" s="128">
        <v>43326</v>
      </c>
      <c r="F2" s="128">
        <v>43097</v>
      </c>
      <c r="G2" s="128">
        <v>43123</v>
      </c>
      <c r="H2" s="128">
        <v>43300</v>
      </c>
      <c r="I2" s="128">
        <v>43326</v>
      </c>
      <c r="J2" s="190">
        <v>1659.5</v>
      </c>
      <c r="K2" s="190">
        <v>2428.1</v>
      </c>
      <c r="L2" s="190">
        <v>1664.5</v>
      </c>
      <c r="M2" s="190">
        <v>2113.8999999999996</v>
      </c>
      <c r="N2" s="190">
        <v>5.0199999999999996</v>
      </c>
      <c r="O2" s="190">
        <v>4.1399999999999997</v>
      </c>
      <c r="P2" s="190">
        <v>3.24</v>
      </c>
      <c r="Q2" s="190">
        <v>13.27</v>
      </c>
      <c r="R2" s="190">
        <v>68.510000000000005</v>
      </c>
      <c r="S2" s="190">
        <v>45.89</v>
      </c>
      <c r="T2" s="190">
        <v>79.08</v>
      </c>
      <c r="U2" s="190">
        <v>36.65</v>
      </c>
      <c r="V2" s="190">
        <v>1257.49</v>
      </c>
      <c r="W2" s="190">
        <v>1119.47</v>
      </c>
      <c r="X2" s="190">
        <v>1159.5899999999999</v>
      </c>
      <c r="Y2" s="190">
        <v>1154</v>
      </c>
    </row>
    <row r="3" spans="1:25">
      <c r="A3" s="107">
        <v>2287</v>
      </c>
      <c r="B3" s="128">
        <v>43321</v>
      </c>
      <c r="C3" s="128">
        <v>43347</v>
      </c>
      <c r="D3" s="128">
        <v>43462</v>
      </c>
      <c r="E3" s="128">
        <v>43488</v>
      </c>
      <c r="F3" s="128">
        <v>43321</v>
      </c>
      <c r="G3" s="128">
        <v>43347</v>
      </c>
      <c r="H3" s="128">
        <v>43462</v>
      </c>
      <c r="I3" s="128">
        <v>43488</v>
      </c>
      <c r="J3" s="190">
        <v>927.3</v>
      </c>
      <c r="K3" s="190">
        <v>940.39</v>
      </c>
      <c r="L3" s="190">
        <v>1353.6000000000001</v>
      </c>
      <c r="M3" s="190">
        <v>1982.86</v>
      </c>
      <c r="N3" s="190">
        <v>2.625</v>
      </c>
      <c r="O3" s="190">
        <v>14.6</v>
      </c>
      <c r="P3" s="190">
        <v>7.625</v>
      </c>
      <c r="Q3" s="190">
        <v>20.274999999999999</v>
      </c>
      <c r="R3" s="190">
        <v>38.51</v>
      </c>
      <c r="S3" s="190">
        <v>34.630000000000003</v>
      </c>
      <c r="T3" s="190">
        <v>39.880000000000003</v>
      </c>
      <c r="U3" s="190">
        <v>41.75</v>
      </c>
      <c r="V3" s="190">
        <v>1193.3</v>
      </c>
      <c r="W3" s="190">
        <v>480.87</v>
      </c>
      <c r="X3" s="190">
        <v>794.37</v>
      </c>
      <c r="Y3" s="190">
        <v>761.83</v>
      </c>
    </row>
    <row r="4" spans="1:25">
      <c r="A4" s="107">
        <v>2081</v>
      </c>
      <c r="B4" s="128">
        <v>43035</v>
      </c>
      <c r="C4" s="128">
        <v>43061</v>
      </c>
      <c r="D4" s="128">
        <v>43517</v>
      </c>
      <c r="E4" s="128">
        <v>43543</v>
      </c>
      <c r="F4" s="128">
        <v>43035</v>
      </c>
      <c r="G4" s="128">
        <v>43061</v>
      </c>
      <c r="H4" s="128">
        <v>43517</v>
      </c>
      <c r="I4" s="128">
        <v>43543</v>
      </c>
      <c r="J4" s="190">
        <v>946.59999999999991</v>
      </c>
      <c r="K4" s="190">
        <v>2068.3000000000002</v>
      </c>
      <c r="L4" s="190">
        <v>833.1</v>
      </c>
      <c r="M4" s="190">
        <v>1014.7</v>
      </c>
      <c r="N4" s="190">
        <v>3.95</v>
      </c>
      <c r="O4" s="190">
        <v>4.8499999999999996</v>
      </c>
      <c r="P4" s="190">
        <v>2.125</v>
      </c>
      <c r="Q4" s="190">
        <v>6.15</v>
      </c>
      <c r="R4" s="190">
        <v>39.04</v>
      </c>
      <c r="S4" s="190">
        <v>38.4</v>
      </c>
      <c r="T4" s="190">
        <v>33.93</v>
      </c>
      <c r="U4" s="190">
        <v>26.25</v>
      </c>
      <c r="V4" s="190">
        <v>932.62</v>
      </c>
      <c r="W4" s="190">
        <v>608.23</v>
      </c>
      <c r="X4" s="190">
        <v>716.14</v>
      </c>
      <c r="Y4" s="190">
        <v>272.51</v>
      </c>
    </row>
    <row r="5" spans="1:25">
      <c r="A5" s="107">
        <v>2484</v>
      </c>
      <c r="B5" s="128">
        <v>43567</v>
      </c>
      <c r="C5" s="128">
        <v>43593</v>
      </c>
      <c r="D5" s="128">
        <v>43705</v>
      </c>
      <c r="E5" s="128">
        <v>43754</v>
      </c>
      <c r="F5" s="128">
        <v>43567</v>
      </c>
      <c r="G5" s="128">
        <v>43593</v>
      </c>
      <c r="H5" s="128">
        <v>43705</v>
      </c>
      <c r="I5" s="128">
        <v>43754</v>
      </c>
      <c r="J5" s="190">
        <v>1443.7</v>
      </c>
      <c r="K5" s="190">
        <v>2281.3999999999996</v>
      </c>
      <c r="L5" s="190">
        <v>2042.5</v>
      </c>
      <c r="M5" s="190">
        <v>2108.1999999999998</v>
      </c>
      <c r="N5" s="190">
        <v>4.4249999999999998</v>
      </c>
      <c r="O5" s="190">
        <v>6.15</v>
      </c>
      <c r="P5" s="190">
        <v>5.0749999999999993</v>
      </c>
      <c r="Q5" s="190">
        <v>4</v>
      </c>
      <c r="R5" s="190">
        <v>74.38</v>
      </c>
      <c r="S5" s="190">
        <v>96.68</v>
      </c>
      <c r="T5" s="190">
        <v>65.260000000000005</v>
      </c>
      <c r="U5" s="190">
        <v>56.6</v>
      </c>
      <c r="V5" s="190">
        <v>1677.28</v>
      </c>
      <c r="W5" s="190">
        <v>774.22</v>
      </c>
      <c r="X5" s="190">
        <v>1414.47</v>
      </c>
      <c r="Y5" s="190">
        <v>1270.51</v>
      </c>
    </row>
    <row r="6" spans="1:25">
      <c r="A6" s="112">
        <v>1265</v>
      </c>
      <c r="B6" s="128">
        <v>42111</v>
      </c>
      <c r="C6" s="128">
        <v>42137</v>
      </c>
      <c r="D6" s="128">
        <v>42454</v>
      </c>
      <c r="E6" s="128">
        <v>42480</v>
      </c>
      <c r="F6" s="128">
        <v>42110</v>
      </c>
      <c r="G6" s="128">
        <v>42136</v>
      </c>
      <c r="H6" s="128">
        <v>42454</v>
      </c>
      <c r="I6" s="128">
        <v>42480</v>
      </c>
      <c r="J6" s="190">
        <v>943.7</v>
      </c>
      <c r="K6" s="190">
        <v>2024.1</v>
      </c>
      <c r="L6" s="190">
        <v>1299.1999999999998</v>
      </c>
      <c r="M6" s="190">
        <v>1700.3</v>
      </c>
      <c r="N6" s="190">
        <v>1.04</v>
      </c>
      <c r="O6" s="190">
        <v>1.33</v>
      </c>
      <c r="P6" s="190">
        <v>0.56000000000000005</v>
      </c>
      <c r="Q6" s="190">
        <v>0.66</v>
      </c>
      <c r="R6" s="190">
        <v>30.84</v>
      </c>
      <c r="S6" s="190">
        <v>55.06</v>
      </c>
      <c r="T6" s="190">
        <v>25.92</v>
      </c>
      <c r="U6" s="190">
        <v>26.06</v>
      </c>
      <c r="V6" s="190">
        <v>864.32399999999996</v>
      </c>
      <c r="W6" s="190">
        <v>670.89</v>
      </c>
      <c r="X6" s="190">
        <v>590.99400000000003</v>
      </c>
      <c r="Y6" s="190">
        <v>632.66399999999999</v>
      </c>
    </row>
    <row r="7" spans="1:25">
      <c r="A7" s="112">
        <v>1270</v>
      </c>
      <c r="B7" s="128">
        <v>42159</v>
      </c>
      <c r="C7" s="128">
        <v>42185</v>
      </c>
      <c r="D7" s="128">
        <v>42481</v>
      </c>
      <c r="E7" s="128">
        <v>42507</v>
      </c>
      <c r="F7" s="128">
        <v>42158</v>
      </c>
      <c r="G7" s="128">
        <v>42184</v>
      </c>
      <c r="H7" s="128">
        <v>42481</v>
      </c>
      <c r="I7" s="128">
        <v>42507</v>
      </c>
      <c r="J7" s="190">
        <v>1618</v>
      </c>
      <c r="K7" s="190">
        <v>1362.1000000000001</v>
      </c>
      <c r="L7" s="190">
        <v>1312.1000000000001</v>
      </c>
      <c r="M7" s="190">
        <v>1819.6000000000001</v>
      </c>
      <c r="N7" s="190">
        <v>1.63</v>
      </c>
      <c r="O7" s="190">
        <v>1.43</v>
      </c>
      <c r="P7" s="190">
        <v>1.33</v>
      </c>
      <c r="Q7" s="190">
        <v>2.39</v>
      </c>
      <c r="R7" s="190">
        <v>43.01</v>
      </c>
      <c r="S7" s="190">
        <v>35.18</v>
      </c>
      <c r="T7" s="190">
        <v>50.32</v>
      </c>
      <c r="U7" s="190">
        <v>45.97</v>
      </c>
      <c r="V7" s="190">
        <v>650.28</v>
      </c>
      <c r="W7" s="190">
        <v>529.62599999999998</v>
      </c>
      <c r="X7" s="190">
        <v>892.24799999999993</v>
      </c>
      <c r="Y7" s="190">
        <v>556.01400000000001</v>
      </c>
    </row>
    <row r="8" spans="1:25">
      <c r="A8" s="112">
        <v>1186</v>
      </c>
      <c r="B8" s="128">
        <v>42117</v>
      </c>
      <c r="C8" s="128">
        <v>42143</v>
      </c>
      <c r="D8" s="128">
        <v>42489</v>
      </c>
      <c r="E8" s="128">
        <v>42515</v>
      </c>
      <c r="F8" s="128">
        <v>42116</v>
      </c>
      <c r="G8" s="128">
        <v>42142</v>
      </c>
      <c r="H8" s="128">
        <v>42489</v>
      </c>
      <c r="I8" s="128">
        <v>42515</v>
      </c>
      <c r="J8" s="190">
        <v>884.80000000000007</v>
      </c>
      <c r="K8" s="190">
        <v>1458.8999999999999</v>
      </c>
      <c r="L8" s="190">
        <v>1114.5999999999999</v>
      </c>
      <c r="M8" s="190">
        <v>1316.2</v>
      </c>
      <c r="N8" s="190">
        <v>0.75</v>
      </c>
      <c r="O8" s="190">
        <v>1.24</v>
      </c>
      <c r="P8" s="190">
        <v>0.62</v>
      </c>
      <c r="Q8" s="190">
        <v>1.33</v>
      </c>
      <c r="R8" s="190">
        <v>43.24</v>
      </c>
      <c r="S8" s="190">
        <v>34.32</v>
      </c>
      <c r="T8" s="190">
        <v>35.17</v>
      </c>
      <c r="U8" s="190">
        <v>27.34</v>
      </c>
      <c r="V8" s="190">
        <v>625.25399999999991</v>
      </c>
      <c r="W8" s="190">
        <v>397.96199999999999</v>
      </c>
      <c r="X8" s="190">
        <v>517.24800000000005</v>
      </c>
      <c r="Y8" s="190">
        <v>463.30799999999994</v>
      </c>
    </row>
    <row r="9" spans="1:25">
      <c r="A9" s="112">
        <v>1701</v>
      </c>
      <c r="B9" s="128">
        <v>42524</v>
      </c>
      <c r="C9" s="128">
        <v>42550</v>
      </c>
      <c r="D9" s="128">
        <v>42874</v>
      </c>
      <c r="E9" s="128">
        <v>42900</v>
      </c>
      <c r="F9" s="128">
        <v>42523</v>
      </c>
      <c r="G9" s="128">
        <v>42549</v>
      </c>
      <c r="H9" s="128">
        <v>42874</v>
      </c>
      <c r="I9" s="128">
        <v>42900</v>
      </c>
      <c r="J9" s="190">
        <v>883.19999999999993</v>
      </c>
      <c r="K9" s="190">
        <v>462.2</v>
      </c>
      <c r="L9" s="190">
        <v>797.09999999999991</v>
      </c>
      <c r="M9" s="190">
        <v>1560.5</v>
      </c>
      <c r="N9" s="190">
        <v>1.34</v>
      </c>
      <c r="O9" s="190">
        <v>0.62</v>
      </c>
      <c r="P9" s="190">
        <v>1.04</v>
      </c>
      <c r="Q9" s="190">
        <v>1.83</v>
      </c>
      <c r="R9" s="190">
        <v>34.72</v>
      </c>
      <c r="S9" s="190">
        <v>25.79</v>
      </c>
      <c r="T9" s="190">
        <v>41.68</v>
      </c>
      <c r="U9" s="190">
        <v>25.08</v>
      </c>
      <c r="V9" s="190">
        <v>816.68400000000008</v>
      </c>
      <c r="W9" s="190">
        <v>734.55599999999993</v>
      </c>
      <c r="X9" s="190">
        <v>1357.3680000000002</v>
      </c>
      <c r="Y9" s="190">
        <v>707.00399999999991</v>
      </c>
    </row>
    <row r="10" spans="1:25">
      <c r="A10" s="112">
        <v>2039</v>
      </c>
      <c r="B10" s="128">
        <v>42972</v>
      </c>
      <c r="C10" s="128">
        <v>42998</v>
      </c>
      <c r="D10" s="128">
        <v>43224</v>
      </c>
      <c r="E10" s="128">
        <v>43250</v>
      </c>
      <c r="F10" s="128">
        <v>42972</v>
      </c>
      <c r="G10" s="128">
        <v>42998</v>
      </c>
      <c r="H10" s="128">
        <v>43224</v>
      </c>
      <c r="I10" s="128">
        <v>43250</v>
      </c>
      <c r="J10" s="190">
        <v>1106.9000000000001</v>
      </c>
      <c r="K10" s="190">
        <v>1521.1000000000001</v>
      </c>
      <c r="L10" s="190">
        <v>1286</v>
      </c>
      <c r="M10" s="190">
        <v>1261.9000000000001</v>
      </c>
      <c r="N10" s="190">
        <v>2.98</v>
      </c>
      <c r="O10" s="190">
        <v>3.11</v>
      </c>
      <c r="P10" s="190">
        <v>2.33</v>
      </c>
      <c r="Q10" s="190">
        <v>2.59</v>
      </c>
      <c r="R10" s="190">
        <v>26.37</v>
      </c>
      <c r="S10" s="190">
        <v>34</v>
      </c>
      <c r="T10" s="190">
        <v>29.48</v>
      </c>
      <c r="U10" s="190">
        <v>24.49</v>
      </c>
      <c r="V10" s="190">
        <v>593.13</v>
      </c>
      <c r="W10" s="190">
        <v>509.13</v>
      </c>
      <c r="X10" s="190">
        <v>690.35</v>
      </c>
      <c r="Y10" s="190">
        <v>378.56</v>
      </c>
    </row>
    <row r="11" spans="1:25">
      <c r="A11" s="112">
        <v>2102</v>
      </c>
      <c r="B11" s="128">
        <v>43062</v>
      </c>
      <c r="C11" s="128">
        <v>43088</v>
      </c>
      <c r="D11" s="128">
        <v>43406</v>
      </c>
      <c r="E11" s="128">
        <v>43432</v>
      </c>
      <c r="F11" s="128">
        <v>43062</v>
      </c>
      <c r="G11" s="128">
        <v>43088</v>
      </c>
      <c r="H11" s="128">
        <v>43406</v>
      </c>
      <c r="I11" s="128">
        <v>43432</v>
      </c>
      <c r="J11" s="190">
        <v>1185.5999999999999</v>
      </c>
      <c r="K11" s="190">
        <v>1457.8999999999999</v>
      </c>
      <c r="L11" s="190">
        <v>1249.4000000000001</v>
      </c>
      <c r="M11" s="190">
        <v>1370.6999999999998</v>
      </c>
      <c r="N11" s="190">
        <v>3.37</v>
      </c>
      <c r="O11" s="190">
        <v>3.62</v>
      </c>
      <c r="P11" s="190">
        <v>3.11</v>
      </c>
      <c r="Q11" s="190">
        <v>2.72</v>
      </c>
      <c r="R11" s="190">
        <v>42.78</v>
      </c>
      <c r="S11" s="190">
        <v>44.99</v>
      </c>
      <c r="T11" s="190">
        <v>35.82</v>
      </c>
      <c r="U11" s="190">
        <v>37.090000000000003</v>
      </c>
      <c r="V11" s="190">
        <v>751.59</v>
      </c>
      <c r="W11" s="190">
        <v>750.78</v>
      </c>
      <c r="X11" s="190">
        <v>731.47</v>
      </c>
      <c r="Y11" s="190">
        <v>644.04</v>
      </c>
    </row>
    <row r="12" spans="1:25">
      <c r="A12" s="112">
        <v>2272</v>
      </c>
      <c r="B12" s="128">
        <v>43300</v>
      </c>
      <c r="C12" s="128">
        <v>43326</v>
      </c>
      <c r="D12" s="128">
        <v>43454</v>
      </c>
      <c r="E12" s="128">
        <v>43480</v>
      </c>
      <c r="F12" s="128">
        <v>43300</v>
      </c>
      <c r="G12" s="128">
        <v>43326</v>
      </c>
      <c r="H12" s="128">
        <v>43454</v>
      </c>
      <c r="I12" s="128">
        <v>43480</v>
      </c>
      <c r="J12" s="190">
        <v>1426.1000000000001</v>
      </c>
      <c r="K12" s="190">
        <v>1923.7</v>
      </c>
      <c r="L12" s="190">
        <v>1531.3</v>
      </c>
      <c r="M12" s="190">
        <v>2315.6</v>
      </c>
      <c r="N12" s="190">
        <v>4.26</v>
      </c>
      <c r="O12" s="190">
        <v>5.34</v>
      </c>
      <c r="P12" s="190">
        <v>7.15</v>
      </c>
      <c r="Q12" s="190">
        <v>13.27</v>
      </c>
      <c r="R12" s="190">
        <v>71.72</v>
      </c>
      <c r="S12" s="190">
        <v>60.04</v>
      </c>
      <c r="T12" s="190">
        <v>38.46</v>
      </c>
      <c r="U12" s="190">
        <v>38.46</v>
      </c>
      <c r="V12" s="190">
        <v>1007.61</v>
      </c>
      <c r="W12" s="190">
        <v>934.53</v>
      </c>
      <c r="X12" s="190">
        <v>801.67</v>
      </c>
      <c r="Y12" s="190">
        <v>637.16999999999996</v>
      </c>
    </row>
    <row r="13" spans="1:25">
      <c r="A13" s="112">
        <v>1984</v>
      </c>
      <c r="B13" s="128">
        <v>43027</v>
      </c>
      <c r="C13" s="128">
        <v>43053</v>
      </c>
      <c r="D13" s="128">
        <v>43518</v>
      </c>
      <c r="E13" s="128">
        <v>43544</v>
      </c>
      <c r="F13" s="128">
        <v>43026</v>
      </c>
      <c r="G13" s="128">
        <v>43052</v>
      </c>
      <c r="H13" s="128">
        <v>43518</v>
      </c>
      <c r="I13" s="128">
        <v>43544</v>
      </c>
      <c r="J13" s="190">
        <v>963.8</v>
      </c>
      <c r="K13" s="190">
        <v>2378.1</v>
      </c>
      <c r="L13" s="190">
        <v>1018.9</v>
      </c>
      <c r="M13" s="190">
        <v>1236.5</v>
      </c>
      <c r="N13" s="190">
        <v>3.75</v>
      </c>
      <c r="O13" s="190">
        <v>4.82</v>
      </c>
      <c r="P13" s="190">
        <v>4.18</v>
      </c>
      <c r="Q13" s="190">
        <v>7.29</v>
      </c>
      <c r="R13" s="190">
        <v>44.64</v>
      </c>
      <c r="S13" s="190">
        <v>47.45</v>
      </c>
      <c r="T13" s="190">
        <v>35.07</v>
      </c>
      <c r="U13" s="190">
        <v>37.159999999999997</v>
      </c>
      <c r="V13" s="190">
        <v>929.77</v>
      </c>
      <c r="W13" s="190">
        <v>722.57</v>
      </c>
      <c r="X13" s="190">
        <v>1320.35</v>
      </c>
      <c r="Y13" s="190">
        <v>489.38</v>
      </c>
    </row>
    <row r="14" spans="1:25">
      <c r="A14" s="112">
        <v>2335</v>
      </c>
      <c r="B14" s="128">
        <v>43385</v>
      </c>
      <c r="C14" s="128">
        <v>43411</v>
      </c>
      <c r="D14" s="128">
        <v>43559</v>
      </c>
      <c r="E14" s="128">
        <v>43595</v>
      </c>
      <c r="F14" s="128">
        <v>43385</v>
      </c>
      <c r="G14" s="128">
        <v>43411</v>
      </c>
      <c r="H14" s="128">
        <v>43559</v>
      </c>
      <c r="I14" s="128">
        <v>43595</v>
      </c>
      <c r="J14" s="190">
        <v>924.80000000000007</v>
      </c>
      <c r="K14" s="190">
        <v>1744.6000000000001</v>
      </c>
      <c r="L14" s="190">
        <v>1128.8</v>
      </c>
      <c r="M14" s="190">
        <v>2232</v>
      </c>
      <c r="N14" s="190">
        <v>3.3000000000000003</v>
      </c>
      <c r="O14" s="190">
        <v>4.2</v>
      </c>
      <c r="P14" s="190">
        <v>2.15</v>
      </c>
      <c r="Q14" s="190">
        <v>30</v>
      </c>
      <c r="R14" s="190">
        <v>37.14</v>
      </c>
      <c r="S14" s="190">
        <v>42.78</v>
      </c>
      <c r="T14" s="190">
        <v>29.4</v>
      </c>
      <c r="U14" s="190">
        <v>66.069999999999993</v>
      </c>
      <c r="V14" s="190">
        <v>1263.81</v>
      </c>
      <c r="W14" s="190">
        <v>731.05</v>
      </c>
      <c r="X14" s="190">
        <v>1079.76</v>
      </c>
      <c r="Y14" s="190">
        <v>771.38</v>
      </c>
    </row>
    <row r="15" spans="1:25">
      <c r="A15" s="107">
        <v>2383</v>
      </c>
      <c r="B15" s="128">
        <v>43454</v>
      </c>
      <c r="C15" s="128">
        <v>43480</v>
      </c>
      <c r="D15" s="128">
        <v>43707</v>
      </c>
      <c r="E15" s="128">
        <v>43746</v>
      </c>
      <c r="F15" s="128">
        <v>43454</v>
      </c>
      <c r="G15" s="128">
        <v>43480</v>
      </c>
      <c r="H15" s="128">
        <v>43707</v>
      </c>
      <c r="I15" s="128">
        <v>43746</v>
      </c>
      <c r="J15" s="190">
        <v>555.1</v>
      </c>
      <c r="K15" s="190">
        <v>4999</v>
      </c>
      <c r="L15" s="190">
        <v>1272.0999999999999</v>
      </c>
      <c r="M15" s="190">
        <v>1635.9</v>
      </c>
      <c r="N15" s="190">
        <v>2.15</v>
      </c>
      <c r="O15" s="190">
        <v>28.900000000000002</v>
      </c>
      <c r="P15" s="190">
        <v>1.9</v>
      </c>
      <c r="Q15" s="190">
        <v>8.2249999999999996</v>
      </c>
      <c r="R15" s="190">
        <v>35.119999999999997</v>
      </c>
      <c r="S15" s="190">
        <v>157.83000000000001</v>
      </c>
      <c r="T15" s="190">
        <v>30.54</v>
      </c>
      <c r="U15" s="190">
        <v>55.24</v>
      </c>
      <c r="V15" s="190">
        <v>870.65</v>
      </c>
      <c r="W15" s="190">
        <v>1990.28</v>
      </c>
      <c r="X15" s="190">
        <v>1475.54</v>
      </c>
      <c r="Y15" s="190">
        <v>523.08000000000004</v>
      </c>
    </row>
    <row r="16" spans="1:25">
      <c r="A16" s="107">
        <v>2103</v>
      </c>
      <c r="B16" s="128">
        <v>43119</v>
      </c>
      <c r="C16" s="128">
        <v>43145</v>
      </c>
      <c r="D16" s="128">
        <v>43699</v>
      </c>
      <c r="E16" s="128">
        <v>43817</v>
      </c>
      <c r="F16" s="128">
        <v>43119</v>
      </c>
      <c r="G16" s="128">
        <v>43145</v>
      </c>
      <c r="H16" s="128">
        <v>43699</v>
      </c>
      <c r="I16" s="128">
        <v>43817</v>
      </c>
      <c r="J16" s="190">
        <v>1593</v>
      </c>
      <c r="K16" s="190">
        <v>2936.7000000000003</v>
      </c>
      <c r="L16" s="190">
        <v>1209.2</v>
      </c>
      <c r="M16" s="190">
        <v>294.3</v>
      </c>
      <c r="N16" s="190">
        <v>1.825</v>
      </c>
      <c r="O16" s="190">
        <v>13.600000000000001</v>
      </c>
      <c r="P16" s="190">
        <v>1.375</v>
      </c>
      <c r="Q16" s="190">
        <v>0</v>
      </c>
      <c r="R16" s="190">
        <v>30.85</v>
      </c>
      <c r="S16" s="190">
        <v>45.62</v>
      </c>
      <c r="T16" s="190">
        <v>26.65</v>
      </c>
      <c r="U16" s="190">
        <v>17.3</v>
      </c>
      <c r="V16" s="190">
        <v>829.95</v>
      </c>
      <c r="W16" s="190">
        <v>578.34</v>
      </c>
      <c r="X16" s="190">
        <v>277.41000000000003</v>
      </c>
      <c r="Y16" s="190">
        <v>801.16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B1" sqref="B1"/>
    </sheetView>
  </sheetViews>
  <sheetFormatPr defaultRowHeight="16.5"/>
  <sheetData>
    <row r="1" spans="1:13">
      <c r="A1" s="197" t="s">
        <v>0</v>
      </c>
      <c r="B1" s="1" t="s">
        <v>444</v>
      </c>
      <c r="C1" s="4" t="s">
        <v>425</v>
      </c>
      <c r="D1" s="4" t="s">
        <v>426</v>
      </c>
      <c r="E1" s="4" t="s">
        <v>427</v>
      </c>
      <c r="F1" s="94" t="s">
        <v>428</v>
      </c>
      <c r="G1" s="94" t="s">
        <v>445</v>
      </c>
      <c r="H1" s="94" t="s">
        <v>446</v>
      </c>
      <c r="I1" s="94" t="s">
        <v>447</v>
      </c>
      <c r="J1" s="94" t="s">
        <v>448</v>
      </c>
      <c r="K1" s="94" t="s">
        <v>449</v>
      </c>
      <c r="L1" s="94" t="s">
        <v>450</v>
      </c>
      <c r="M1" s="198" t="s">
        <v>451</v>
      </c>
    </row>
    <row r="2" spans="1:13">
      <c r="A2" s="201">
        <v>1265</v>
      </c>
      <c r="B2" s="199" t="s">
        <v>5</v>
      </c>
      <c r="C2" s="200">
        <v>34</v>
      </c>
      <c r="D2" s="200">
        <v>33.798450000000003</v>
      </c>
      <c r="E2" s="200">
        <v>33</v>
      </c>
      <c r="F2" s="200">
        <v>30.928570000000001</v>
      </c>
      <c r="G2" s="200">
        <v>33.798450000000003</v>
      </c>
      <c r="H2" s="200">
        <v>33.596899999999998</v>
      </c>
      <c r="I2" s="200">
        <v>33.395350000000001</v>
      </c>
      <c r="J2" s="200">
        <v>30.928570000000001</v>
      </c>
      <c r="K2" s="200">
        <v>30</v>
      </c>
      <c r="L2" s="200">
        <v>29.071429999999999</v>
      </c>
      <c r="M2" s="199">
        <v>317</v>
      </c>
    </row>
    <row r="3" spans="1:13">
      <c r="A3" s="201">
        <v>1186</v>
      </c>
      <c r="B3" s="199" t="s">
        <v>3</v>
      </c>
      <c r="C3" s="200">
        <v>26</v>
      </c>
      <c r="D3" s="200">
        <v>25.33333</v>
      </c>
      <c r="E3" s="200">
        <v>25</v>
      </c>
      <c r="F3" s="200">
        <v>25</v>
      </c>
      <c r="G3" s="200">
        <v>25.33333</v>
      </c>
      <c r="H3" s="200">
        <v>25</v>
      </c>
      <c r="I3" s="200">
        <v>25</v>
      </c>
      <c r="J3" s="200">
        <v>25</v>
      </c>
      <c r="K3" s="200">
        <v>25</v>
      </c>
      <c r="L3" s="200">
        <v>25</v>
      </c>
      <c r="M3" s="199">
        <v>346</v>
      </c>
    </row>
    <row r="4" spans="1:13">
      <c r="A4" s="201">
        <v>1270</v>
      </c>
      <c r="B4" s="199" t="s">
        <v>7</v>
      </c>
      <c r="C4" s="200">
        <v>39</v>
      </c>
      <c r="D4" s="200">
        <v>38.810220000000001</v>
      </c>
      <c r="E4" s="200">
        <v>32.514290000000003</v>
      </c>
      <c r="F4" s="200">
        <v>31.771429999999999</v>
      </c>
      <c r="G4" s="200">
        <v>38.810220000000001</v>
      </c>
      <c r="H4" s="200">
        <v>38.620440000000002</v>
      </c>
      <c r="I4" s="200">
        <v>38.430660000000003</v>
      </c>
      <c r="J4" s="200">
        <v>31.771429999999999</v>
      </c>
      <c r="K4" s="200">
        <v>31.028569999999998</v>
      </c>
      <c r="L4" s="200">
        <v>29.754149999999999</v>
      </c>
      <c r="M4" s="199">
        <v>296</v>
      </c>
    </row>
    <row r="5" spans="1:13">
      <c r="A5" s="201">
        <v>1701</v>
      </c>
      <c r="B5" s="199" t="s">
        <v>4</v>
      </c>
      <c r="C5" s="200">
        <v>41</v>
      </c>
      <c r="D5" s="200">
        <v>40.773910000000001</v>
      </c>
      <c r="E5" s="200">
        <v>39.881360000000001</v>
      </c>
      <c r="F5" s="200">
        <v>39.44068</v>
      </c>
      <c r="G5" s="200">
        <v>40.773910000000001</v>
      </c>
      <c r="H5" s="200">
        <v>40.547829999999998</v>
      </c>
      <c r="I5" s="200">
        <v>40.321739999999998</v>
      </c>
      <c r="J5" s="200">
        <v>39.44068</v>
      </c>
      <c r="K5" s="200">
        <v>39</v>
      </c>
      <c r="L5" s="200">
        <v>38.204079999999998</v>
      </c>
      <c r="M5" s="199">
        <v>324</v>
      </c>
    </row>
    <row r="6" spans="1:13">
      <c r="A6" s="201">
        <v>2039</v>
      </c>
      <c r="B6" s="199" t="s">
        <v>8</v>
      </c>
      <c r="C6" s="200">
        <v>40</v>
      </c>
      <c r="D6" s="200">
        <v>39.156759999999998</v>
      </c>
      <c r="E6" s="200">
        <v>34</v>
      </c>
      <c r="F6" s="200">
        <v>34</v>
      </c>
      <c r="G6" s="200">
        <v>39.156759999999998</v>
      </c>
      <c r="H6" s="200">
        <v>38.313510000000001</v>
      </c>
      <c r="I6" s="200">
        <v>37.470269999999999</v>
      </c>
      <c r="J6" s="200">
        <v>34</v>
      </c>
      <c r="K6" s="200">
        <v>34</v>
      </c>
      <c r="L6" s="200">
        <v>34</v>
      </c>
      <c r="M6" s="199">
        <v>226</v>
      </c>
    </row>
    <row r="7" spans="1:13">
      <c r="A7" s="201">
        <v>1984</v>
      </c>
      <c r="B7" s="199" t="s">
        <v>2</v>
      </c>
      <c r="C7" s="200">
        <v>43</v>
      </c>
      <c r="D7" s="200">
        <v>41.227269999999997</v>
      </c>
      <c r="E7" s="200">
        <v>21</v>
      </c>
      <c r="F7" s="200">
        <v>21.114540000000002</v>
      </c>
      <c r="G7" s="200">
        <v>41.227269999999997</v>
      </c>
      <c r="H7" s="200">
        <v>39.454549999999998</v>
      </c>
      <c r="I7" s="200">
        <v>37.681820000000002</v>
      </c>
      <c r="J7" s="200">
        <v>21.114540000000002</v>
      </c>
      <c r="K7" s="200">
        <v>21.22907</v>
      </c>
      <c r="L7" s="200">
        <v>21.343610000000002</v>
      </c>
      <c r="M7" s="199">
        <v>465</v>
      </c>
    </row>
    <row r="8" spans="1:13">
      <c r="A8" s="201">
        <v>2081</v>
      </c>
      <c r="B8" s="199" t="s">
        <v>1</v>
      </c>
      <c r="C8" s="200">
        <v>31</v>
      </c>
      <c r="D8" s="200">
        <v>31</v>
      </c>
      <c r="E8" s="200">
        <v>24</v>
      </c>
      <c r="F8" s="200">
        <v>24</v>
      </c>
      <c r="G8" s="200">
        <v>31</v>
      </c>
      <c r="H8" s="200">
        <v>29.862500000000001</v>
      </c>
      <c r="I8" s="200">
        <v>28.725000000000001</v>
      </c>
      <c r="J8" s="200">
        <v>24</v>
      </c>
      <c r="K8" s="200">
        <v>23.67089</v>
      </c>
      <c r="L8" s="200">
        <v>23.34177</v>
      </c>
      <c r="M8" s="199">
        <v>456</v>
      </c>
    </row>
    <row r="9" spans="1:13">
      <c r="A9" s="201">
        <v>2102</v>
      </c>
      <c r="B9" s="199" t="s">
        <v>6</v>
      </c>
      <c r="C9" s="200">
        <v>33</v>
      </c>
      <c r="D9" s="200">
        <v>32.736040000000003</v>
      </c>
      <c r="E9" s="200">
        <v>27</v>
      </c>
      <c r="F9" s="200">
        <v>27</v>
      </c>
      <c r="G9" s="200">
        <v>32.736040000000003</v>
      </c>
      <c r="H9" s="200">
        <v>32.472079999999998</v>
      </c>
      <c r="I9" s="200">
        <v>32.208120000000001</v>
      </c>
      <c r="J9" s="200">
        <v>27</v>
      </c>
      <c r="K9" s="200">
        <v>27</v>
      </c>
      <c r="L9" s="200">
        <v>27</v>
      </c>
      <c r="M9" s="199">
        <v>318</v>
      </c>
    </row>
    <row r="10" spans="1:13">
      <c r="A10" s="201">
        <v>2131</v>
      </c>
      <c r="B10" s="199" t="s">
        <v>9</v>
      </c>
      <c r="C10" s="200">
        <v>32</v>
      </c>
      <c r="D10" s="200">
        <v>31.515529999999998</v>
      </c>
      <c r="E10" s="200">
        <v>27.606639999999999</v>
      </c>
      <c r="F10" s="200">
        <v>26.74408</v>
      </c>
      <c r="G10" s="200">
        <v>31.515529999999998</v>
      </c>
      <c r="H10" s="200">
        <v>31.03106</v>
      </c>
      <c r="I10" s="200">
        <v>30.546579999999999</v>
      </c>
      <c r="J10" s="200">
        <v>26.74408</v>
      </c>
      <c r="K10" s="200">
        <v>25.881519999999998</v>
      </c>
      <c r="L10" s="200">
        <v>25.01896</v>
      </c>
      <c r="M10" s="199">
        <v>177</v>
      </c>
    </row>
    <row r="11" spans="1:13">
      <c r="A11" s="201">
        <v>2272</v>
      </c>
      <c r="B11" s="199" t="s">
        <v>11</v>
      </c>
      <c r="C11" s="200">
        <v>46</v>
      </c>
      <c r="D11" s="200">
        <v>46</v>
      </c>
      <c r="E11" s="200">
        <v>45</v>
      </c>
      <c r="F11" s="200">
        <v>45</v>
      </c>
      <c r="G11" s="200">
        <v>46</v>
      </c>
      <c r="H11" s="200">
        <v>46</v>
      </c>
      <c r="I11" s="200">
        <v>46</v>
      </c>
      <c r="J11" s="200">
        <v>45</v>
      </c>
      <c r="K11" s="200">
        <v>45</v>
      </c>
      <c r="L11" s="200">
        <v>45</v>
      </c>
      <c r="M11" s="199">
        <v>128</v>
      </c>
    </row>
    <row r="12" spans="1:13">
      <c r="A12" s="201">
        <v>2335</v>
      </c>
      <c r="B12" s="199" t="s">
        <v>10</v>
      </c>
      <c r="C12" s="200">
        <v>39.071429999999999</v>
      </c>
      <c r="D12" s="200">
        <v>40</v>
      </c>
      <c r="E12" s="200">
        <v>37.22222</v>
      </c>
      <c r="F12" s="200">
        <v>36</v>
      </c>
      <c r="G12" s="200">
        <v>40</v>
      </c>
      <c r="H12" s="200">
        <v>39.566670000000002</v>
      </c>
      <c r="I12" s="200">
        <v>39.133330000000001</v>
      </c>
      <c r="J12" s="200">
        <v>36.357140000000001</v>
      </c>
      <c r="K12" s="200">
        <v>35.521369999999997</v>
      </c>
      <c r="L12" s="200">
        <v>34.743589999999998</v>
      </c>
      <c r="M12" s="199">
        <v>148</v>
      </c>
    </row>
    <row r="13" spans="1:13">
      <c r="A13" s="201">
        <v>2103</v>
      </c>
      <c r="B13" s="199" t="s">
        <v>13</v>
      </c>
      <c r="C13" s="200">
        <v>47</v>
      </c>
      <c r="D13" s="200">
        <v>46.52899</v>
      </c>
      <c r="E13" s="200">
        <v>36</v>
      </c>
      <c r="F13" s="200">
        <v>33.785710000000002</v>
      </c>
      <c r="G13" s="200">
        <v>46.52899</v>
      </c>
      <c r="H13" s="200">
        <v>46.057969999999997</v>
      </c>
      <c r="I13" s="200">
        <v>45.586959999999998</v>
      </c>
      <c r="J13" s="200">
        <v>35.976190000000003</v>
      </c>
      <c r="K13" s="200">
        <v>35.357140000000001</v>
      </c>
      <c r="L13" s="200">
        <v>34.738100000000003</v>
      </c>
      <c r="M13" s="199">
        <v>554</v>
      </c>
    </row>
    <row r="14" spans="1:13">
      <c r="A14" s="201">
        <v>2383</v>
      </c>
      <c r="B14" s="199" t="s">
        <v>12</v>
      </c>
      <c r="C14" s="200">
        <v>43</v>
      </c>
      <c r="D14" s="200">
        <v>43</v>
      </c>
      <c r="E14" s="200">
        <v>39</v>
      </c>
      <c r="F14" s="200">
        <v>39</v>
      </c>
      <c r="G14" s="200">
        <v>43</v>
      </c>
      <c r="H14" s="200">
        <v>43</v>
      </c>
      <c r="I14" s="200">
        <v>43</v>
      </c>
      <c r="J14" s="200">
        <v>39</v>
      </c>
      <c r="K14" s="200">
        <v>39</v>
      </c>
      <c r="L14" s="200">
        <v>39</v>
      </c>
      <c r="M14" s="199">
        <v>227</v>
      </c>
    </row>
    <row r="15" spans="1:13">
      <c r="A15" s="201">
        <v>2287</v>
      </c>
      <c r="B15" s="199" t="s">
        <v>452</v>
      </c>
      <c r="C15" s="200">
        <v>40</v>
      </c>
      <c r="D15" s="200">
        <v>38</v>
      </c>
      <c r="E15" s="200">
        <v>31</v>
      </c>
      <c r="F15" s="200">
        <v>32</v>
      </c>
      <c r="G15" s="200">
        <v>38</v>
      </c>
      <c r="H15" s="200">
        <v>36.417389999999997</v>
      </c>
      <c r="I15" s="200">
        <v>34.834780000000002</v>
      </c>
      <c r="J15" s="200">
        <v>32</v>
      </c>
      <c r="K15" s="200">
        <v>30.161619999999999</v>
      </c>
      <c r="L15" s="200">
        <v>28.323229999999999</v>
      </c>
      <c r="M15" s="199">
        <v>115</v>
      </c>
    </row>
    <row r="16" spans="1:13">
      <c r="A16" s="201">
        <v>2484</v>
      </c>
      <c r="B16" s="199" t="s">
        <v>453</v>
      </c>
      <c r="C16" s="200">
        <v>45</v>
      </c>
      <c r="D16" s="200">
        <v>45</v>
      </c>
      <c r="E16" s="200">
        <v>43</v>
      </c>
      <c r="F16" s="200">
        <v>41.67568</v>
      </c>
      <c r="G16" s="200">
        <v>45</v>
      </c>
      <c r="H16" s="200">
        <v>44.535710000000002</v>
      </c>
      <c r="I16" s="200">
        <v>44.071429999999999</v>
      </c>
      <c r="J16" s="200">
        <v>42.2973</v>
      </c>
      <c r="K16" s="200">
        <v>41.594589999999997</v>
      </c>
      <c r="L16" s="200">
        <v>40.891889999999997</v>
      </c>
      <c r="M16" s="199">
        <v>112</v>
      </c>
    </row>
  </sheetData>
  <autoFilter ref="A1:M16">
    <sortState ref="A2:M16">
      <sortCondition ref="B1:B16"/>
    </sortState>
  </autoFilter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>
      <selection activeCell="A2" sqref="A2:S25"/>
    </sheetView>
  </sheetViews>
  <sheetFormatPr defaultRowHeight="16.5"/>
  <cols>
    <col min="5" max="5" width="17.375" bestFit="1" customWidth="1"/>
    <col min="6" max="6" width="16.125" bestFit="1" customWidth="1"/>
    <col min="7" max="7" width="16.75" bestFit="1" customWidth="1"/>
  </cols>
  <sheetData>
    <row r="1" spans="1:19">
      <c r="A1" s="197" t="s">
        <v>0</v>
      </c>
      <c r="B1" s="4" t="s">
        <v>191</v>
      </c>
      <c r="C1" s="4" t="s">
        <v>190</v>
      </c>
      <c r="D1" s="4" t="s">
        <v>188</v>
      </c>
      <c r="E1" s="10" t="s">
        <v>211</v>
      </c>
      <c r="F1" s="94" t="s">
        <v>212</v>
      </c>
      <c r="G1" s="10" t="s">
        <v>213</v>
      </c>
      <c r="H1" s="96" t="s">
        <v>454</v>
      </c>
      <c r="I1" s="96" t="s">
        <v>455</v>
      </c>
      <c r="J1" s="96" t="s">
        <v>456</v>
      </c>
      <c r="K1" s="96" t="s">
        <v>457</v>
      </c>
      <c r="L1" s="96" t="s">
        <v>458</v>
      </c>
      <c r="M1" s="96" t="s">
        <v>459</v>
      </c>
      <c r="N1" s="96" t="s">
        <v>461</v>
      </c>
      <c r="O1" s="96" t="s">
        <v>460</v>
      </c>
      <c r="P1" s="96" t="s">
        <v>462</v>
      </c>
      <c r="Q1" s="96" t="s">
        <v>463</v>
      </c>
      <c r="R1" s="96" t="s">
        <v>464</v>
      </c>
      <c r="S1" s="96" t="s">
        <v>465</v>
      </c>
    </row>
    <row r="2" spans="1:19">
      <c r="A2" s="202">
        <v>1265</v>
      </c>
      <c r="B2" s="202">
        <v>42111</v>
      </c>
      <c r="C2" s="202">
        <v>42137</v>
      </c>
      <c r="D2" s="202">
        <v>42454</v>
      </c>
      <c r="E2" s="202">
        <v>42110</v>
      </c>
      <c r="F2" s="202">
        <v>42136</v>
      </c>
      <c r="G2" s="202">
        <v>42454</v>
      </c>
      <c r="H2" s="125">
        <v>943.7</v>
      </c>
      <c r="I2" s="125">
        <v>2024.1</v>
      </c>
      <c r="J2" s="125">
        <v>1299.1999999999998</v>
      </c>
      <c r="K2" s="125">
        <v>1.04</v>
      </c>
      <c r="L2" s="125">
        <v>1.33</v>
      </c>
      <c r="M2" s="125">
        <v>0.56000000000000005</v>
      </c>
      <c r="N2" s="125">
        <v>30.84</v>
      </c>
      <c r="O2" s="125">
        <v>55.06</v>
      </c>
      <c r="P2" s="125">
        <v>25.92</v>
      </c>
      <c r="Q2" s="125">
        <v>864.32399999999996</v>
      </c>
      <c r="R2" s="125">
        <v>670.89</v>
      </c>
      <c r="S2" s="125">
        <v>590.99400000000003</v>
      </c>
    </row>
    <row r="3" spans="1:19">
      <c r="A3" s="202">
        <v>1270</v>
      </c>
      <c r="B3" s="202">
        <v>42159</v>
      </c>
      <c r="C3" s="202">
        <v>42185</v>
      </c>
      <c r="D3" s="202">
        <v>42481</v>
      </c>
      <c r="E3" s="202">
        <v>42158</v>
      </c>
      <c r="F3" s="202">
        <v>42184</v>
      </c>
      <c r="G3" s="202">
        <v>42481</v>
      </c>
      <c r="H3" s="125">
        <v>1618</v>
      </c>
      <c r="I3" s="125">
        <v>1362.1000000000001</v>
      </c>
      <c r="J3" s="125">
        <v>1312.1000000000001</v>
      </c>
      <c r="K3" s="125">
        <v>1.63</v>
      </c>
      <c r="L3" s="125">
        <v>1.43</v>
      </c>
      <c r="M3" s="125">
        <v>1.33</v>
      </c>
      <c r="N3" s="125">
        <v>43.01</v>
      </c>
      <c r="O3" s="125">
        <v>35.18</v>
      </c>
      <c r="P3" s="125">
        <v>50.32</v>
      </c>
      <c r="Q3" s="125">
        <v>650.28</v>
      </c>
      <c r="R3" s="125">
        <v>529.62599999999998</v>
      </c>
      <c r="S3" s="125">
        <v>892.24799999999993</v>
      </c>
    </row>
    <row r="4" spans="1:19">
      <c r="A4" s="202">
        <v>1186</v>
      </c>
      <c r="B4" s="202">
        <v>42117</v>
      </c>
      <c r="C4" s="202">
        <v>42143</v>
      </c>
      <c r="D4" s="202">
        <v>42489</v>
      </c>
      <c r="E4" s="202">
        <v>42116</v>
      </c>
      <c r="F4" s="202">
        <v>42142</v>
      </c>
      <c r="G4" s="202">
        <v>42489</v>
      </c>
      <c r="H4" s="125">
        <v>884.80000000000007</v>
      </c>
      <c r="I4" s="125">
        <v>1458.8999999999999</v>
      </c>
      <c r="J4" s="125">
        <v>1114.5999999999999</v>
      </c>
      <c r="K4" s="125">
        <v>0.75</v>
      </c>
      <c r="L4" s="125">
        <v>1.24</v>
      </c>
      <c r="M4" s="125">
        <v>0.62</v>
      </c>
      <c r="N4" s="125">
        <v>43.24</v>
      </c>
      <c r="O4" s="125">
        <v>34.32</v>
      </c>
      <c r="P4" s="125">
        <v>35.17</v>
      </c>
      <c r="Q4" s="125">
        <v>625.25399999999991</v>
      </c>
      <c r="R4" s="125">
        <v>397.96199999999999</v>
      </c>
      <c r="S4" s="125">
        <v>517.24800000000005</v>
      </c>
    </row>
    <row r="5" spans="1:19">
      <c r="A5" s="202">
        <v>1748</v>
      </c>
      <c r="B5" s="202">
        <v>42488</v>
      </c>
      <c r="C5" s="202">
        <v>42514</v>
      </c>
      <c r="D5" s="202">
        <v>42760</v>
      </c>
      <c r="E5" s="202">
        <v>42488</v>
      </c>
      <c r="F5" s="202">
        <v>42514</v>
      </c>
      <c r="G5" s="202">
        <v>42760</v>
      </c>
      <c r="H5" s="125">
        <v>958.6</v>
      </c>
      <c r="I5" s="125">
        <v>1474</v>
      </c>
      <c r="J5" s="125">
        <v>1500.6999999999998</v>
      </c>
      <c r="K5" s="125">
        <v>4.6750000000000007</v>
      </c>
      <c r="L5" s="125">
        <v>11.299999999999999</v>
      </c>
      <c r="M5" s="125">
        <v>4.0500000000000007</v>
      </c>
      <c r="N5" s="125">
        <v>43.15</v>
      </c>
      <c r="O5" s="125">
        <v>99.05</v>
      </c>
      <c r="P5" s="125">
        <v>43.55</v>
      </c>
      <c r="Q5" s="125">
        <v>929.7</v>
      </c>
      <c r="R5" s="125">
        <v>717.63</v>
      </c>
      <c r="S5" s="125">
        <v>883.77</v>
      </c>
    </row>
    <row r="6" spans="1:19">
      <c r="A6" s="202">
        <v>1701</v>
      </c>
      <c r="B6" s="202">
        <v>42524</v>
      </c>
      <c r="C6" s="202">
        <v>42550</v>
      </c>
      <c r="D6" s="202">
        <v>42874</v>
      </c>
      <c r="E6" s="202">
        <v>42523</v>
      </c>
      <c r="F6" s="202">
        <v>42549</v>
      </c>
      <c r="G6" s="202">
        <v>42874</v>
      </c>
      <c r="H6" s="125">
        <v>883.19999999999993</v>
      </c>
      <c r="I6" s="125">
        <v>462.2</v>
      </c>
      <c r="J6" s="125">
        <v>797.09999999999991</v>
      </c>
      <c r="K6" s="125">
        <v>1.34</v>
      </c>
      <c r="L6" s="125">
        <v>0.62</v>
      </c>
      <c r="M6" s="125">
        <v>1.04</v>
      </c>
      <c r="N6" s="125">
        <v>34.72</v>
      </c>
      <c r="O6" s="125">
        <v>25.79</v>
      </c>
      <c r="P6" s="125">
        <v>41.68</v>
      </c>
      <c r="Q6" s="125">
        <v>816.68400000000008</v>
      </c>
      <c r="R6" s="125">
        <v>734.55599999999993</v>
      </c>
      <c r="S6" s="125">
        <v>1357.3680000000002</v>
      </c>
    </row>
    <row r="7" spans="1:19">
      <c r="A7" s="202">
        <v>2039</v>
      </c>
      <c r="B7" s="202">
        <v>42972</v>
      </c>
      <c r="C7" s="202">
        <v>42998</v>
      </c>
      <c r="D7" s="202">
        <v>43224</v>
      </c>
      <c r="E7" s="202">
        <v>42972</v>
      </c>
      <c r="F7" s="202">
        <v>42998</v>
      </c>
      <c r="G7" s="202">
        <v>43224</v>
      </c>
      <c r="H7" s="125">
        <v>1106.9000000000001</v>
      </c>
      <c r="I7" s="125">
        <v>1521.1000000000001</v>
      </c>
      <c r="J7" s="125">
        <v>1286</v>
      </c>
      <c r="K7" s="125">
        <v>2.98</v>
      </c>
      <c r="L7" s="125">
        <v>3.11</v>
      </c>
      <c r="M7" s="125">
        <v>2.33</v>
      </c>
      <c r="N7" s="125">
        <v>26.37</v>
      </c>
      <c r="O7" s="125">
        <v>34</v>
      </c>
      <c r="P7" s="125">
        <v>29.48</v>
      </c>
      <c r="Q7" s="125">
        <v>593.13</v>
      </c>
      <c r="R7" s="125">
        <v>509.13</v>
      </c>
      <c r="S7" s="125">
        <v>690.35</v>
      </c>
    </row>
    <row r="8" spans="1:19">
      <c r="A8" s="202">
        <v>2131</v>
      </c>
      <c r="B8" s="202">
        <v>43097</v>
      </c>
      <c r="C8" s="202">
        <v>43123</v>
      </c>
      <c r="D8" s="202">
        <v>43300</v>
      </c>
      <c r="E8" s="202">
        <v>43097</v>
      </c>
      <c r="F8" s="202">
        <v>43123</v>
      </c>
      <c r="G8" s="202">
        <v>43300</v>
      </c>
      <c r="H8" s="125">
        <v>1659.5</v>
      </c>
      <c r="I8" s="125">
        <v>2428.1</v>
      </c>
      <c r="J8" s="125">
        <v>1664.5</v>
      </c>
      <c r="K8" s="125">
        <v>5.0199999999999996</v>
      </c>
      <c r="L8" s="125">
        <v>4.1399999999999997</v>
      </c>
      <c r="M8" s="125">
        <v>3.24</v>
      </c>
      <c r="N8" s="125">
        <v>68.510000000000005</v>
      </c>
      <c r="O8" s="125">
        <v>45.89</v>
      </c>
      <c r="P8" s="125">
        <v>79.08</v>
      </c>
      <c r="Q8" s="125">
        <v>1257.49</v>
      </c>
      <c r="R8" s="125">
        <v>1119.47</v>
      </c>
      <c r="S8" s="125">
        <v>1159.5899999999999</v>
      </c>
    </row>
    <row r="9" spans="1:19">
      <c r="A9" s="202">
        <v>2102</v>
      </c>
      <c r="B9" s="202">
        <v>43062</v>
      </c>
      <c r="C9" s="202">
        <v>43088</v>
      </c>
      <c r="D9" s="202">
        <v>43406</v>
      </c>
      <c r="E9" s="202">
        <v>43062</v>
      </c>
      <c r="F9" s="202">
        <v>43088</v>
      </c>
      <c r="G9" s="202">
        <v>43406</v>
      </c>
      <c r="H9" s="125">
        <v>1185.5999999999999</v>
      </c>
      <c r="I9" s="125">
        <v>1457.8999999999999</v>
      </c>
      <c r="J9" s="125">
        <v>1249.4000000000001</v>
      </c>
      <c r="K9" s="125">
        <v>3.37</v>
      </c>
      <c r="L9" s="125">
        <v>3.62</v>
      </c>
      <c r="M9" s="125">
        <v>3.11</v>
      </c>
      <c r="N9" s="125">
        <v>42.78</v>
      </c>
      <c r="O9" s="125">
        <v>44.99</v>
      </c>
      <c r="P9" s="125">
        <v>35.82</v>
      </c>
      <c r="Q9" s="125">
        <v>751.59</v>
      </c>
      <c r="R9" s="125">
        <v>750.78</v>
      </c>
      <c r="S9" s="125">
        <v>731.47</v>
      </c>
    </row>
    <row r="10" spans="1:19">
      <c r="A10" s="202">
        <v>2272</v>
      </c>
      <c r="B10" s="202">
        <v>43300</v>
      </c>
      <c r="C10" s="202">
        <v>43326</v>
      </c>
      <c r="D10" s="202">
        <v>43454</v>
      </c>
      <c r="E10" s="202">
        <v>43300</v>
      </c>
      <c r="F10" s="202">
        <v>43326</v>
      </c>
      <c r="G10" s="202">
        <v>43454</v>
      </c>
      <c r="H10" s="125">
        <v>1426.1000000000001</v>
      </c>
      <c r="I10" s="125">
        <v>1923.7</v>
      </c>
      <c r="J10" s="125">
        <v>1531.3</v>
      </c>
      <c r="K10" s="125">
        <v>4.26</v>
      </c>
      <c r="L10" s="125">
        <v>5.34</v>
      </c>
      <c r="M10" s="125">
        <v>7.15</v>
      </c>
      <c r="N10" s="125">
        <v>71.72</v>
      </c>
      <c r="O10" s="125">
        <v>60.04</v>
      </c>
      <c r="P10" s="125">
        <v>38.46</v>
      </c>
      <c r="Q10" s="125">
        <v>1007.61</v>
      </c>
      <c r="R10" s="125">
        <v>934.53</v>
      </c>
      <c r="S10" s="125">
        <v>801.67</v>
      </c>
    </row>
    <row r="11" spans="1:19">
      <c r="A11" s="202">
        <v>2287</v>
      </c>
      <c r="B11" s="202">
        <v>43321</v>
      </c>
      <c r="C11" s="202">
        <v>43347</v>
      </c>
      <c r="D11" s="202">
        <v>43462</v>
      </c>
      <c r="E11" s="202">
        <v>43321</v>
      </c>
      <c r="F11" s="202">
        <v>43347</v>
      </c>
      <c r="G11" s="202">
        <v>43462</v>
      </c>
      <c r="H11" s="125">
        <v>927.3</v>
      </c>
      <c r="I11" s="125">
        <v>940.39</v>
      </c>
      <c r="J11" s="125">
        <v>1353.6000000000001</v>
      </c>
      <c r="K11" s="125">
        <v>2.625</v>
      </c>
      <c r="L11" s="125">
        <v>14.6</v>
      </c>
      <c r="M11" s="125">
        <v>7.625</v>
      </c>
      <c r="N11" s="125">
        <v>38.51</v>
      </c>
      <c r="O11" s="125">
        <v>34.630000000000003</v>
      </c>
      <c r="P11" s="125">
        <v>39.880000000000003</v>
      </c>
      <c r="Q11" s="125">
        <v>1193.3</v>
      </c>
      <c r="R11" s="125">
        <v>480.87</v>
      </c>
      <c r="S11" s="125">
        <v>794.37</v>
      </c>
    </row>
    <row r="12" spans="1:19">
      <c r="A12" s="202">
        <v>2081</v>
      </c>
      <c r="B12" s="202">
        <v>43035</v>
      </c>
      <c r="C12" s="202">
        <v>43061</v>
      </c>
      <c r="D12" s="202">
        <v>43517</v>
      </c>
      <c r="E12" s="202">
        <v>43035</v>
      </c>
      <c r="F12" s="202">
        <v>43061</v>
      </c>
      <c r="G12" s="202">
        <v>43517</v>
      </c>
      <c r="H12" s="125">
        <v>946.59999999999991</v>
      </c>
      <c r="I12" s="125">
        <v>2068.3000000000002</v>
      </c>
      <c r="J12" s="125">
        <v>833.1</v>
      </c>
      <c r="K12" s="125">
        <v>3.95</v>
      </c>
      <c r="L12" s="125">
        <v>4.8499999999999996</v>
      </c>
      <c r="M12" s="125">
        <v>2.125</v>
      </c>
      <c r="N12" s="125">
        <v>39.04</v>
      </c>
      <c r="O12" s="125">
        <v>38.4</v>
      </c>
      <c r="P12" s="125">
        <v>33.93</v>
      </c>
      <c r="Q12" s="125">
        <v>932.62</v>
      </c>
      <c r="R12" s="125">
        <v>608.23</v>
      </c>
      <c r="S12" s="125">
        <v>716.14</v>
      </c>
    </row>
    <row r="13" spans="1:19">
      <c r="A13" s="202">
        <v>1984</v>
      </c>
      <c r="B13" s="202">
        <v>43027</v>
      </c>
      <c r="C13" s="202">
        <v>43053</v>
      </c>
      <c r="D13" s="202">
        <v>43518</v>
      </c>
      <c r="E13" s="202">
        <v>43026</v>
      </c>
      <c r="F13" s="202">
        <v>43052</v>
      </c>
      <c r="G13" s="202">
        <v>43518</v>
      </c>
      <c r="H13" s="125">
        <v>963.8</v>
      </c>
      <c r="I13" s="125">
        <v>2378.1</v>
      </c>
      <c r="J13" s="125">
        <v>1018.9</v>
      </c>
      <c r="K13" s="125">
        <v>3.75</v>
      </c>
      <c r="L13" s="125">
        <v>4.82</v>
      </c>
      <c r="M13" s="125">
        <v>4.18</v>
      </c>
      <c r="N13" s="125">
        <v>44.64</v>
      </c>
      <c r="O13" s="125">
        <v>47.45</v>
      </c>
      <c r="P13" s="125">
        <v>35.07</v>
      </c>
      <c r="Q13" s="125">
        <v>929.77</v>
      </c>
      <c r="R13" s="125">
        <v>722.57</v>
      </c>
      <c r="S13" s="125">
        <v>1320.35</v>
      </c>
    </row>
    <row r="14" spans="1:19">
      <c r="A14" s="202">
        <v>2335</v>
      </c>
      <c r="B14" s="202">
        <v>43385</v>
      </c>
      <c r="C14" s="202">
        <v>43411</v>
      </c>
      <c r="D14" s="202">
        <v>43559</v>
      </c>
      <c r="E14" s="202">
        <v>43385</v>
      </c>
      <c r="F14" s="202">
        <v>43411</v>
      </c>
      <c r="G14" s="202">
        <v>43559</v>
      </c>
      <c r="H14" s="125">
        <v>924.80000000000007</v>
      </c>
      <c r="I14" s="125">
        <v>1744.6000000000001</v>
      </c>
      <c r="J14" s="125">
        <v>1128.8</v>
      </c>
      <c r="K14" s="125">
        <v>3.3000000000000003</v>
      </c>
      <c r="L14" s="125">
        <v>4.2</v>
      </c>
      <c r="M14" s="125">
        <v>2.15</v>
      </c>
      <c r="N14" s="125">
        <v>37.14</v>
      </c>
      <c r="O14" s="125">
        <v>42.78</v>
      </c>
      <c r="P14" s="125">
        <v>29.4</v>
      </c>
      <c r="Q14" s="125">
        <v>1263.81</v>
      </c>
      <c r="R14" s="125">
        <v>731.05</v>
      </c>
      <c r="S14" s="125">
        <v>1079.76</v>
      </c>
    </row>
    <row r="15" spans="1:19">
      <c r="A15" s="202">
        <v>2103</v>
      </c>
      <c r="B15" s="202">
        <v>43119</v>
      </c>
      <c r="C15" s="202">
        <v>43145</v>
      </c>
      <c r="D15" s="202">
        <v>43699</v>
      </c>
      <c r="E15" s="202">
        <v>43119</v>
      </c>
      <c r="F15" s="202">
        <v>43145</v>
      </c>
      <c r="G15" s="202">
        <v>43699</v>
      </c>
      <c r="H15" s="125">
        <v>1593</v>
      </c>
      <c r="I15" s="125">
        <v>2936.7000000000003</v>
      </c>
      <c r="J15" s="125">
        <v>1209.2</v>
      </c>
      <c r="K15" s="125">
        <v>1.825</v>
      </c>
      <c r="L15" s="125">
        <v>13.600000000000001</v>
      </c>
      <c r="M15" s="125">
        <v>1.375</v>
      </c>
      <c r="N15" s="125">
        <v>30.85</v>
      </c>
      <c r="O15" s="125">
        <v>45.62</v>
      </c>
      <c r="P15" s="125">
        <v>26.65</v>
      </c>
      <c r="Q15" s="125">
        <v>829.95</v>
      </c>
      <c r="R15" s="125">
        <v>578.34</v>
      </c>
      <c r="S15" s="125">
        <v>277.41000000000003</v>
      </c>
    </row>
    <row r="16" spans="1:19">
      <c r="A16" s="202">
        <v>2484</v>
      </c>
      <c r="B16" s="202">
        <v>43567</v>
      </c>
      <c r="C16" s="202">
        <v>43593</v>
      </c>
      <c r="D16" s="202">
        <v>43705</v>
      </c>
      <c r="E16" s="202">
        <v>43567</v>
      </c>
      <c r="F16" s="202">
        <v>43593</v>
      </c>
      <c r="G16" s="202">
        <v>43705</v>
      </c>
      <c r="H16" s="125">
        <v>1443.7</v>
      </c>
      <c r="I16" s="125">
        <v>2281.3999999999996</v>
      </c>
      <c r="J16" s="125">
        <v>2042.5</v>
      </c>
      <c r="K16" s="125">
        <v>4.4249999999999998</v>
      </c>
      <c r="L16" s="125">
        <v>6.15</v>
      </c>
      <c r="M16" s="125">
        <v>5.0749999999999993</v>
      </c>
      <c r="N16" s="125">
        <v>74.38</v>
      </c>
      <c r="O16" s="125">
        <v>96.68</v>
      </c>
      <c r="P16" s="125">
        <v>65.260000000000005</v>
      </c>
      <c r="Q16" s="125">
        <v>1677.28</v>
      </c>
      <c r="R16" s="125">
        <v>774.22</v>
      </c>
      <c r="S16" s="125">
        <v>1414.47</v>
      </c>
    </row>
    <row r="17" spans="1:19">
      <c r="A17" s="202">
        <v>2383</v>
      </c>
      <c r="B17" s="202">
        <v>43454</v>
      </c>
      <c r="C17" s="202">
        <v>43480</v>
      </c>
      <c r="D17" s="202">
        <v>43707</v>
      </c>
      <c r="E17" s="202">
        <v>43454</v>
      </c>
      <c r="F17" s="202">
        <v>43480</v>
      </c>
      <c r="G17" s="202">
        <v>43707</v>
      </c>
      <c r="H17" s="125">
        <v>555.1</v>
      </c>
      <c r="I17" s="125">
        <v>4999</v>
      </c>
      <c r="J17" s="125">
        <v>1272.0999999999999</v>
      </c>
      <c r="K17" s="125">
        <v>2.15</v>
      </c>
      <c r="L17" s="125">
        <v>28.900000000000002</v>
      </c>
      <c r="M17" s="125">
        <v>1.9</v>
      </c>
      <c r="N17" s="125">
        <v>35.119999999999997</v>
      </c>
      <c r="O17" s="125">
        <v>157.83000000000001</v>
      </c>
      <c r="P17" s="125">
        <v>30.54</v>
      </c>
      <c r="Q17" s="125">
        <v>870.65</v>
      </c>
      <c r="R17" s="125">
        <v>1990.28</v>
      </c>
      <c r="S17" s="125">
        <v>1475.54</v>
      </c>
    </row>
    <row r="18" spans="1:19">
      <c r="A18" s="202">
        <v>2445</v>
      </c>
      <c r="B18" s="202">
        <v>43532</v>
      </c>
      <c r="C18" s="202">
        <v>43558</v>
      </c>
      <c r="D18" s="202">
        <v>43740</v>
      </c>
      <c r="E18" s="202">
        <v>43532</v>
      </c>
      <c r="F18" s="202">
        <v>43558</v>
      </c>
      <c r="G18" s="202">
        <v>43740</v>
      </c>
      <c r="H18" s="125">
        <v>725</v>
      </c>
      <c r="I18" s="125">
        <v>2763.2</v>
      </c>
      <c r="J18" s="125">
        <v>1130</v>
      </c>
      <c r="K18" s="125">
        <v>4.6750000000000007</v>
      </c>
      <c r="L18" s="125">
        <v>19.574999999999999</v>
      </c>
      <c r="M18" s="125">
        <v>5.3000000000000007</v>
      </c>
      <c r="N18" s="125">
        <v>62.1</v>
      </c>
      <c r="O18" s="125">
        <v>50.64</v>
      </c>
      <c r="P18" s="125">
        <v>57.52</v>
      </c>
      <c r="Q18" s="125">
        <v>987.25</v>
      </c>
      <c r="R18" s="125">
        <v>335.6</v>
      </c>
      <c r="S18" s="125">
        <v>868.33</v>
      </c>
    </row>
    <row r="19" spans="1:19">
      <c r="A19" s="202">
        <v>2533</v>
      </c>
      <c r="B19" s="202">
        <v>43630</v>
      </c>
      <c r="C19" s="202">
        <v>43693</v>
      </c>
      <c r="D19" s="202">
        <v>43740</v>
      </c>
      <c r="E19" s="202">
        <v>43630</v>
      </c>
      <c r="F19" s="202">
        <v>43693</v>
      </c>
      <c r="G19" s="202">
        <v>43740</v>
      </c>
      <c r="H19" s="125">
        <v>960.90000000000009</v>
      </c>
      <c r="I19" s="125">
        <v>1000.3</v>
      </c>
      <c r="J19" s="125">
        <v>1361</v>
      </c>
      <c r="K19" s="125">
        <v>4.6750000000000007</v>
      </c>
      <c r="L19" s="125">
        <v>6.7249999999999996</v>
      </c>
      <c r="M19" s="125">
        <v>4.4749999999999996</v>
      </c>
      <c r="N19" s="125">
        <v>43.13</v>
      </c>
      <c r="O19" s="125">
        <v>57.34</v>
      </c>
      <c r="P19" s="125">
        <v>69.510000000000005</v>
      </c>
      <c r="Q19" s="125">
        <v>1307.51</v>
      </c>
      <c r="R19" s="125">
        <v>1207.54</v>
      </c>
      <c r="S19" s="125">
        <v>1231.42</v>
      </c>
    </row>
    <row r="20" spans="1:19">
      <c r="A20" s="202">
        <v>2532</v>
      </c>
      <c r="B20" s="202">
        <v>43629</v>
      </c>
      <c r="C20" s="202">
        <v>43700</v>
      </c>
      <c r="D20" s="202">
        <v>43746</v>
      </c>
      <c r="E20" s="202">
        <v>43629</v>
      </c>
      <c r="F20" s="202">
        <v>43700</v>
      </c>
      <c r="G20" s="202">
        <v>43746</v>
      </c>
      <c r="H20" s="125">
        <v>1086.8000000000002</v>
      </c>
      <c r="I20" s="125">
        <v>1271</v>
      </c>
      <c r="J20" s="125">
        <v>1442.8</v>
      </c>
      <c r="K20" s="125">
        <v>9.7249999999999996</v>
      </c>
      <c r="L20" s="125">
        <v>7.35</v>
      </c>
      <c r="M20" s="125">
        <v>11.675000000000001</v>
      </c>
      <c r="N20" s="125">
        <v>77.13</v>
      </c>
      <c r="O20" s="125">
        <v>68.23</v>
      </c>
      <c r="P20" s="125">
        <v>74.819999999999993</v>
      </c>
      <c r="Q20" s="125">
        <v>897.8</v>
      </c>
      <c r="R20" s="125">
        <v>583.76</v>
      </c>
      <c r="S20" s="125">
        <v>482.52</v>
      </c>
    </row>
    <row r="21" spans="1:19">
      <c r="A21" s="202">
        <v>2428</v>
      </c>
      <c r="B21" s="202">
        <v>43629</v>
      </c>
      <c r="C21" s="202">
        <v>43697</v>
      </c>
      <c r="D21" s="202">
        <v>43760</v>
      </c>
      <c r="E21" s="202">
        <v>43629</v>
      </c>
      <c r="F21" s="202">
        <v>43697</v>
      </c>
      <c r="G21" s="202">
        <v>43760</v>
      </c>
      <c r="H21" s="125">
        <v>642</v>
      </c>
      <c r="I21" s="125">
        <v>227.2</v>
      </c>
      <c r="J21" s="125">
        <v>516.59999999999991</v>
      </c>
      <c r="K21" s="125">
        <v>0.35000000000000003</v>
      </c>
      <c r="L21" s="125">
        <v>1.825</v>
      </c>
      <c r="M21" s="125">
        <v>6.3249999999999993</v>
      </c>
      <c r="N21" s="125">
        <v>44.56</v>
      </c>
      <c r="O21" s="125">
        <v>38.96</v>
      </c>
      <c r="P21" s="125">
        <v>48.65</v>
      </c>
      <c r="Q21" s="125">
        <v>1325.75</v>
      </c>
      <c r="R21" s="125">
        <v>1110.21</v>
      </c>
      <c r="S21" s="125">
        <v>1058.1199999999999</v>
      </c>
    </row>
    <row r="22" spans="1:19">
      <c r="A22" s="202">
        <v>2541</v>
      </c>
      <c r="B22" s="202">
        <v>43643</v>
      </c>
      <c r="C22" s="202">
        <v>43669</v>
      </c>
      <c r="D22" s="202">
        <v>43776</v>
      </c>
      <c r="E22" s="202">
        <v>43643</v>
      </c>
      <c r="F22" s="202">
        <v>43669</v>
      </c>
      <c r="G22" s="202">
        <v>43776</v>
      </c>
      <c r="H22" s="125">
        <v>848.40000000000009</v>
      </c>
      <c r="I22" s="125">
        <v>868.1</v>
      </c>
      <c r="J22" s="125">
        <v>390.7</v>
      </c>
      <c r="K22" s="125">
        <v>3.8</v>
      </c>
      <c r="L22" s="125">
        <v>9.7249999999999996</v>
      </c>
      <c r="M22" s="125">
        <v>3.1749999999999998</v>
      </c>
      <c r="N22" s="125">
        <v>91.82</v>
      </c>
      <c r="O22" s="125">
        <v>46.14</v>
      </c>
      <c r="P22" s="125">
        <v>38.65</v>
      </c>
      <c r="Q22" s="125">
        <v>1117.06</v>
      </c>
      <c r="R22" s="125">
        <v>817.18</v>
      </c>
      <c r="S22" s="125">
        <v>927.24</v>
      </c>
    </row>
    <row r="23" spans="1:19">
      <c r="A23" s="202">
        <v>2504</v>
      </c>
      <c r="B23" s="202">
        <v>43594</v>
      </c>
      <c r="C23" s="202">
        <v>43620</v>
      </c>
      <c r="D23" s="202">
        <v>43791</v>
      </c>
      <c r="E23" s="202">
        <v>43594</v>
      </c>
      <c r="F23" s="202">
        <v>43620</v>
      </c>
      <c r="G23" s="202">
        <v>43791</v>
      </c>
      <c r="H23" s="125">
        <v>953</v>
      </c>
      <c r="I23" s="125">
        <v>2516.9</v>
      </c>
      <c r="J23" s="125">
        <v>1167.7</v>
      </c>
      <c r="K23" s="125">
        <v>3.1749999999999998</v>
      </c>
      <c r="L23" s="125">
        <v>7.75</v>
      </c>
      <c r="M23" s="125">
        <v>3.8250000000000002</v>
      </c>
      <c r="N23" s="125">
        <v>83.58</v>
      </c>
      <c r="O23" s="125">
        <v>34.909999999999997</v>
      </c>
      <c r="P23" s="125">
        <v>43</v>
      </c>
      <c r="Q23" s="125">
        <v>776.45</v>
      </c>
      <c r="R23" s="125">
        <v>581.07000000000005</v>
      </c>
      <c r="S23" s="125">
        <v>1039.6099999999999</v>
      </c>
    </row>
    <row r="24" spans="1:19">
      <c r="A24" s="202">
        <v>2497</v>
      </c>
      <c r="B24" s="202">
        <v>43587</v>
      </c>
      <c r="C24" s="202">
        <v>43613</v>
      </c>
      <c r="D24" s="202">
        <v>43833</v>
      </c>
      <c r="E24" s="202">
        <v>43587</v>
      </c>
      <c r="F24" s="202">
        <v>43613</v>
      </c>
      <c r="G24" s="202">
        <v>43833</v>
      </c>
      <c r="H24" s="203">
        <v>1346.5</v>
      </c>
      <c r="I24" s="125">
        <v>1975.3999999999999</v>
      </c>
      <c r="J24" s="125">
        <v>1316</v>
      </c>
      <c r="K24" s="125">
        <v>10.9</v>
      </c>
      <c r="L24" s="125">
        <v>16.975000000000001</v>
      </c>
      <c r="M24" s="125">
        <v>2.2749999999999999</v>
      </c>
      <c r="N24" s="125">
        <v>46.36</v>
      </c>
      <c r="O24" s="125">
        <v>57.15</v>
      </c>
      <c r="P24" s="125">
        <v>33.270000000000003</v>
      </c>
      <c r="Q24" s="125">
        <v>770.04</v>
      </c>
      <c r="R24" s="125">
        <v>434.9</v>
      </c>
      <c r="S24" s="125">
        <v>1602.25</v>
      </c>
    </row>
    <row r="25" spans="1:19">
      <c r="A25" s="202">
        <v>2570</v>
      </c>
      <c r="B25" s="202">
        <v>43677</v>
      </c>
      <c r="C25" s="202">
        <v>43704</v>
      </c>
      <c r="D25" s="202">
        <v>43837</v>
      </c>
      <c r="E25" s="202">
        <v>43677</v>
      </c>
      <c r="F25" s="202">
        <v>43704</v>
      </c>
      <c r="G25" s="202">
        <v>43837</v>
      </c>
      <c r="H25" s="125">
        <v>936.3</v>
      </c>
      <c r="I25" s="125">
        <v>1199.5</v>
      </c>
      <c r="J25" s="125">
        <v>1019.3</v>
      </c>
      <c r="K25" s="125">
        <v>1.74</v>
      </c>
      <c r="L25" s="125">
        <v>2.66</v>
      </c>
      <c r="M25" s="125">
        <v>1.84</v>
      </c>
      <c r="N25" s="125">
        <v>42.22</v>
      </c>
      <c r="O25" s="125">
        <v>56.66</v>
      </c>
      <c r="P25" s="125">
        <v>52.25</v>
      </c>
      <c r="Q25" s="125">
        <v>953.39</v>
      </c>
      <c r="R25" s="125">
        <v>678.66</v>
      </c>
      <c r="S25" s="125">
        <v>993.29</v>
      </c>
    </row>
    <row r="27" spans="1:19"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</row>
  </sheetData>
  <autoFilter ref="A1:S25"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6"/>
  <sheetViews>
    <sheetView workbookViewId="0">
      <selection sqref="A1:B16"/>
    </sheetView>
  </sheetViews>
  <sheetFormatPr defaultRowHeight="16.5"/>
  <cols>
    <col min="1" max="1" width="8" bestFit="1" customWidth="1"/>
    <col min="2" max="2" width="10.875" bestFit="1" customWidth="1"/>
    <col min="3" max="3" width="4.375" bestFit="1" customWidth="1"/>
    <col min="4" max="4" width="10.25" bestFit="1" customWidth="1"/>
    <col min="5" max="5" width="15.25" bestFit="1" customWidth="1"/>
    <col min="6" max="6" width="27.375" bestFit="1" customWidth="1"/>
    <col min="7" max="7" width="7" bestFit="1" customWidth="1"/>
    <col min="8" max="8" width="12.5" bestFit="1" customWidth="1"/>
    <col min="9" max="9" width="18.5" bestFit="1" customWidth="1"/>
    <col min="10" max="10" width="8.25" bestFit="1" customWidth="1"/>
    <col min="11" max="11" width="26.5" bestFit="1" customWidth="1"/>
  </cols>
  <sheetData>
    <row r="1" spans="1:11">
      <c r="A1" t="s">
        <v>0</v>
      </c>
      <c r="B1" t="s">
        <v>435</v>
      </c>
      <c r="C1" t="s">
        <v>466</v>
      </c>
      <c r="D1" t="s">
        <v>467</v>
      </c>
      <c r="E1" t="s">
        <v>468</v>
      </c>
      <c r="F1" t="s">
        <v>469</v>
      </c>
      <c r="G1" t="s">
        <v>470</v>
      </c>
      <c r="H1" t="s">
        <v>471</v>
      </c>
      <c r="I1" t="s">
        <v>472</v>
      </c>
      <c r="J1" t="s">
        <v>473</v>
      </c>
      <c r="K1" t="s">
        <v>474</v>
      </c>
    </row>
    <row r="2" spans="1:11">
      <c r="A2">
        <v>1265</v>
      </c>
      <c r="B2" t="s">
        <v>5</v>
      </c>
      <c r="C2">
        <v>2</v>
      </c>
      <c r="D2">
        <v>47</v>
      </c>
      <c r="E2">
        <v>50</v>
      </c>
      <c r="F2">
        <v>35</v>
      </c>
      <c r="G2">
        <v>2</v>
      </c>
      <c r="H2">
        <v>26</v>
      </c>
      <c r="I2">
        <v>9.0909090909090912E-2</v>
      </c>
      <c r="J2">
        <v>1</v>
      </c>
      <c r="K2">
        <v>0.61111111111111116</v>
      </c>
    </row>
    <row r="3" spans="1:11">
      <c r="A3">
        <v>1186</v>
      </c>
      <c r="B3" t="s">
        <v>3</v>
      </c>
      <c r="C3">
        <v>2</v>
      </c>
      <c r="D3">
        <v>61</v>
      </c>
      <c r="E3">
        <v>63</v>
      </c>
      <c r="F3">
        <v>18</v>
      </c>
      <c r="G3">
        <v>1</v>
      </c>
      <c r="H3">
        <v>34</v>
      </c>
      <c r="I3">
        <v>0.1</v>
      </c>
      <c r="J3">
        <v>0</v>
      </c>
      <c r="K3">
        <v>0.77777777777777779</v>
      </c>
    </row>
    <row r="4" spans="1:11">
      <c r="A4">
        <v>1270</v>
      </c>
      <c r="B4" t="s">
        <v>7</v>
      </c>
      <c r="C4">
        <v>2</v>
      </c>
      <c r="D4">
        <v>65</v>
      </c>
      <c r="E4">
        <v>67</v>
      </c>
      <c r="F4">
        <v>30</v>
      </c>
      <c r="G4">
        <v>2</v>
      </c>
      <c r="H4">
        <v>39</v>
      </c>
      <c r="I4">
        <v>0.4</v>
      </c>
      <c r="J4">
        <v>1</v>
      </c>
      <c r="K4">
        <v>0.3</v>
      </c>
    </row>
    <row r="5" spans="1:11">
      <c r="A5">
        <v>1701</v>
      </c>
      <c r="B5" t="s">
        <v>4</v>
      </c>
      <c r="C5">
        <v>1</v>
      </c>
      <c r="D5">
        <v>46</v>
      </c>
      <c r="E5">
        <v>47</v>
      </c>
      <c r="F5">
        <v>14</v>
      </c>
      <c r="G5">
        <v>2</v>
      </c>
      <c r="H5">
        <v>41</v>
      </c>
      <c r="I5">
        <v>9.0909090909090912E-2</v>
      </c>
      <c r="J5">
        <v>1</v>
      </c>
      <c r="K5">
        <v>0.5</v>
      </c>
    </row>
    <row r="6" spans="1:11">
      <c r="A6">
        <v>2039</v>
      </c>
      <c r="B6" t="s">
        <v>8</v>
      </c>
      <c r="C6">
        <v>1</v>
      </c>
      <c r="D6">
        <v>48</v>
      </c>
      <c r="E6">
        <v>49</v>
      </c>
      <c r="F6">
        <v>12</v>
      </c>
      <c r="G6">
        <v>2</v>
      </c>
      <c r="H6">
        <v>43</v>
      </c>
      <c r="I6">
        <v>0.8666666666666667</v>
      </c>
      <c r="J6">
        <v>0</v>
      </c>
      <c r="K6">
        <v>0.38461538461538464</v>
      </c>
    </row>
    <row r="7" spans="1:11">
      <c r="A7">
        <v>1984</v>
      </c>
      <c r="B7" t="s">
        <v>2</v>
      </c>
      <c r="C7">
        <v>1</v>
      </c>
      <c r="D7">
        <v>71</v>
      </c>
      <c r="E7">
        <v>72</v>
      </c>
      <c r="F7">
        <v>19</v>
      </c>
      <c r="G7">
        <v>1</v>
      </c>
      <c r="H7">
        <v>36</v>
      </c>
      <c r="I7">
        <v>1.2857142857142858</v>
      </c>
      <c r="J7">
        <v>1</v>
      </c>
      <c r="K7">
        <v>0.6</v>
      </c>
    </row>
    <row r="8" spans="1:11">
      <c r="A8">
        <v>2081</v>
      </c>
      <c r="B8" t="s">
        <v>1</v>
      </c>
      <c r="C8">
        <v>1</v>
      </c>
      <c r="D8">
        <v>22</v>
      </c>
      <c r="E8">
        <v>25</v>
      </c>
      <c r="F8">
        <v>34</v>
      </c>
      <c r="G8">
        <v>2</v>
      </c>
      <c r="H8">
        <v>31</v>
      </c>
      <c r="I8">
        <v>0.46666666666666667</v>
      </c>
      <c r="J8">
        <v>1</v>
      </c>
      <c r="K8">
        <v>0.48571428571428571</v>
      </c>
    </row>
    <row r="9" spans="1:11">
      <c r="A9">
        <v>2102</v>
      </c>
      <c r="B9" t="s">
        <v>6</v>
      </c>
      <c r="C9">
        <v>1</v>
      </c>
      <c r="D9">
        <v>40</v>
      </c>
      <c r="E9">
        <v>42</v>
      </c>
      <c r="F9">
        <v>23</v>
      </c>
      <c r="G9">
        <v>2</v>
      </c>
      <c r="H9">
        <v>33</v>
      </c>
      <c r="I9">
        <v>0.6</v>
      </c>
      <c r="J9">
        <v>1</v>
      </c>
      <c r="K9">
        <v>0.625</v>
      </c>
    </row>
    <row r="10" spans="1:11">
      <c r="A10">
        <v>2131</v>
      </c>
      <c r="B10" t="s">
        <v>9</v>
      </c>
      <c r="C10">
        <v>2</v>
      </c>
      <c r="D10">
        <v>50</v>
      </c>
      <c r="E10">
        <v>51</v>
      </c>
      <c r="F10">
        <v>8</v>
      </c>
      <c r="G10">
        <v>2</v>
      </c>
      <c r="H10">
        <v>47</v>
      </c>
      <c r="I10">
        <v>0.3888888888888889</v>
      </c>
      <c r="J10">
        <v>1</v>
      </c>
      <c r="K10">
        <v>0.1111111111111111</v>
      </c>
    </row>
    <row r="11" spans="1:11">
      <c r="A11">
        <v>2272</v>
      </c>
      <c r="B11" t="s">
        <v>11</v>
      </c>
      <c r="C11">
        <v>1</v>
      </c>
      <c r="D11">
        <v>69</v>
      </c>
      <c r="E11">
        <v>70</v>
      </c>
      <c r="F11">
        <v>17</v>
      </c>
      <c r="G11">
        <v>2</v>
      </c>
      <c r="H11">
        <v>32</v>
      </c>
      <c r="I11">
        <v>1.3333333333333333</v>
      </c>
      <c r="J11">
        <v>0</v>
      </c>
      <c r="K11">
        <v>0.88888888888888884</v>
      </c>
    </row>
    <row r="12" spans="1:11">
      <c r="A12">
        <v>2335</v>
      </c>
      <c r="B12" t="s">
        <v>10</v>
      </c>
      <c r="C12">
        <v>1</v>
      </c>
      <c r="D12">
        <v>56</v>
      </c>
      <c r="E12">
        <v>57</v>
      </c>
      <c r="F12">
        <v>6</v>
      </c>
      <c r="G12">
        <v>1</v>
      </c>
      <c r="H12">
        <v>46</v>
      </c>
      <c r="I12">
        <v>0.25</v>
      </c>
      <c r="J12">
        <v>1</v>
      </c>
      <c r="K12">
        <v>0.2857142857142857</v>
      </c>
    </row>
    <row r="13" spans="1:11">
      <c r="A13">
        <v>2103</v>
      </c>
      <c r="B13" t="s">
        <v>13</v>
      </c>
      <c r="C13">
        <v>2</v>
      </c>
      <c r="D13">
        <v>67</v>
      </c>
      <c r="E13">
        <v>69</v>
      </c>
      <c r="F13">
        <v>15</v>
      </c>
      <c r="G13">
        <v>2</v>
      </c>
      <c r="H13">
        <v>40</v>
      </c>
      <c r="I13">
        <v>2.25</v>
      </c>
      <c r="J13">
        <v>1</v>
      </c>
      <c r="K13">
        <v>0.53333333333333333</v>
      </c>
    </row>
    <row r="14" spans="1:11">
      <c r="A14">
        <v>2383</v>
      </c>
      <c r="B14" t="s">
        <v>12</v>
      </c>
      <c r="C14">
        <v>1</v>
      </c>
      <c r="D14">
        <v>58</v>
      </c>
      <c r="E14">
        <v>59</v>
      </c>
      <c r="F14">
        <v>13</v>
      </c>
      <c r="G14">
        <v>2</v>
      </c>
      <c r="H14">
        <v>39</v>
      </c>
      <c r="I14">
        <v>0.4</v>
      </c>
      <c r="J14">
        <v>1</v>
      </c>
      <c r="K14">
        <v>0.69230769230769229</v>
      </c>
    </row>
    <row r="15" spans="1:11">
      <c r="A15">
        <v>2287</v>
      </c>
      <c r="B15" t="s">
        <v>452</v>
      </c>
      <c r="C15">
        <v>1</v>
      </c>
      <c r="D15">
        <v>43</v>
      </c>
      <c r="E15">
        <v>44</v>
      </c>
      <c r="F15">
        <v>7</v>
      </c>
      <c r="G15">
        <v>2</v>
      </c>
      <c r="H15">
        <v>43</v>
      </c>
      <c r="I15">
        <v>0.5714285714285714</v>
      </c>
      <c r="J15">
        <v>1</v>
      </c>
      <c r="K15">
        <v>0.625</v>
      </c>
    </row>
    <row r="16" spans="1:11">
      <c r="A16">
        <v>2484</v>
      </c>
      <c r="B16" t="s">
        <v>453</v>
      </c>
      <c r="C16">
        <v>1</v>
      </c>
      <c r="D16">
        <v>68</v>
      </c>
      <c r="E16">
        <v>69</v>
      </c>
      <c r="F16">
        <v>13</v>
      </c>
      <c r="G16">
        <v>2</v>
      </c>
      <c r="H16">
        <v>45</v>
      </c>
      <c r="I16">
        <v>0.5</v>
      </c>
      <c r="J16">
        <v>1</v>
      </c>
      <c r="K16">
        <v>0.23076923076923078</v>
      </c>
    </row>
  </sheetData>
  <autoFilter ref="A1:B16">
    <sortState ref="A2:B16">
      <sortCondition ref="B1:B16"/>
    </sortState>
  </autoFilter>
  <phoneticPr fontId="2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workbookViewId="0">
      <selection activeCell="Z2" sqref="Z2:Z13"/>
    </sheetView>
  </sheetViews>
  <sheetFormatPr defaultRowHeight="16.5"/>
  <cols>
    <col min="3" max="16" width="9" customWidth="1"/>
    <col min="17" max="17" width="12.125" bestFit="1" customWidth="1"/>
    <col min="18" max="18" width="18.625" bestFit="1" customWidth="1"/>
    <col min="26" max="26" width="22.375" bestFit="1" customWidth="1"/>
  </cols>
  <sheetData>
    <row r="1" spans="1:26">
      <c r="A1" s="212" t="s">
        <v>482</v>
      </c>
      <c r="B1" s="212" t="s">
        <v>483</v>
      </c>
      <c r="C1" s="212" t="s">
        <v>475</v>
      </c>
      <c r="D1" s="212" t="s">
        <v>266</v>
      </c>
      <c r="E1" s="212" t="s">
        <v>174</v>
      </c>
      <c r="F1" s="212" t="s">
        <v>175</v>
      </c>
      <c r="G1" s="212" t="s">
        <v>176</v>
      </c>
      <c r="H1" s="212" t="s">
        <v>177</v>
      </c>
      <c r="I1" s="212" t="s">
        <v>178</v>
      </c>
      <c r="J1" s="212" t="s">
        <v>179</v>
      </c>
      <c r="K1" s="212" t="s">
        <v>180</v>
      </c>
      <c r="L1" s="212" t="s">
        <v>181</v>
      </c>
      <c r="M1" s="212" t="s">
        <v>182</v>
      </c>
      <c r="N1" s="212" t="s">
        <v>183</v>
      </c>
      <c r="O1" s="212" t="s">
        <v>184</v>
      </c>
      <c r="P1" s="212" t="s">
        <v>185</v>
      </c>
      <c r="Q1" s="212" t="s">
        <v>488</v>
      </c>
      <c r="R1" s="212" t="s">
        <v>490</v>
      </c>
      <c r="S1" s="212" t="s">
        <v>476</v>
      </c>
      <c r="T1" s="212" t="s">
        <v>489</v>
      </c>
      <c r="U1" s="212" t="s">
        <v>478</v>
      </c>
      <c r="V1" s="212" t="s">
        <v>477</v>
      </c>
      <c r="W1" s="212" t="s">
        <v>479</v>
      </c>
      <c r="X1" s="212" t="s">
        <v>480</v>
      </c>
      <c r="Y1" s="212" t="s">
        <v>481</v>
      </c>
      <c r="Z1" s="212" t="s">
        <v>491</v>
      </c>
    </row>
    <row r="2" spans="1:26">
      <c r="A2" s="213">
        <v>1984</v>
      </c>
      <c r="B2" s="213" t="s">
        <v>2</v>
      </c>
      <c r="C2" s="216">
        <v>45</v>
      </c>
      <c r="D2" s="216">
        <v>42874</v>
      </c>
      <c r="E2" s="216">
        <v>43</v>
      </c>
      <c r="F2" s="216">
        <v>43027</v>
      </c>
      <c r="G2" s="216">
        <v>37</v>
      </c>
      <c r="H2" s="216">
        <v>43115</v>
      </c>
      <c r="I2" s="216">
        <v>30</v>
      </c>
      <c r="J2" s="216">
        <v>43339</v>
      </c>
      <c r="K2" s="216">
        <v>26</v>
      </c>
      <c r="L2" s="216">
        <v>43455</v>
      </c>
      <c r="M2" s="216">
        <v>23</v>
      </c>
      <c r="N2" s="216">
        <v>43745</v>
      </c>
      <c r="O2" s="216">
        <v>22</v>
      </c>
      <c r="P2" s="216">
        <v>43745</v>
      </c>
      <c r="Q2" s="216">
        <v>30</v>
      </c>
      <c r="R2" s="214">
        <f t="shared" ref="R2:R13" si="0">(Q2-E2)/12</f>
        <v>-1.0833333333333333</v>
      </c>
      <c r="S2" s="214">
        <f t="shared" ref="S2:S24" si="1">(F2-D2)/28</f>
        <v>5.4642857142857144</v>
      </c>
      <c r="T2" s="214">
        <f>(E2-C2)/S2</f>
        <v>-0.36601307189542481</v>
      </c>
      <c r="U2" s="214">
        <f t="shared" ref="U2:U24" si="2">(H2-F2)/28</f>
        <v>3.1428571428571428</v>
      </c>
      <c r="V2" s="217">
        <f t="shared" ref="V2:V24" si="3">(J2-F2)/28</f>
        <v>11.142857142857142</v>
      </c>
      <c r="W2" s="214">
        <f t="shared" ref="W2:W10" si="4">(L2-F2)/28</f>
        <v>15.285714285714286</v>
      </c>
      <c r="X2" s="214">
        <f>(N2-F2)/28</f>
        <v>25.642857142857142</v>
      </c>
      <c r="Y2" s="215">
        <f>(P2-F2)/28</f>
        <v>25.642857142857142</v>
      </c>
      <c r="Z2" s="215">
        <f>T2-R2</f>
        <v>0.71732026143790839</v>
      </c>
    </row>
    <row r="3" spans="1:26">
      <c r="A3" s="213">
        <v>2131</v>
      </c>
      <c r="B3" s="213" t="s">
        <v>9</v>
      </c>
      <c r="C3" s="216">
        <v>35</v>
      </c>
      <c r="D3" s="216">
        <v>43068</v>
      </c>
      <c r="E3" s="216">
        <v>32</v>
      </c>
      <c r="F3" s="216">
        <v>43097</v>
      </c>
      <c r="G3" s="216">
        <v>29</v>
      </c>
      <c r="H3" s="216">
        <v>43258</v>
      </c>
      <c r="I3" s="216">
        <v>24</v>
      </c>
      <c r="J3" s="216">
        <v>43297</v>
      </c>
      <c r="K3" s="216">
        <v>22</v>
      </c>
      <c r="L3" s="216">
        <v>43469</v>
      </c>
      <c r="M3" s="216"/>
      <c r="N3" s="216"/>
      <c r="O3" s="216"/>
      <c r="P3" s="216"/>
      <c r="Q3" s="216">
        <v>22</v>
      </c>
      <c r="R3" s="214">
        <f t="shared" si="0"/>
        <v>-0.83333333333333337</v>
      </c>
      <c r="S3" s="214">
        <f t="shared" si="1"/>
        <v>1.0357142857142858</v>
      </c>
      <c r="T3" s="214">
        <f t="shared" ref="T3:T24" si="5">(E3-C3)/S3</f>
        <v>-2.8965517241379306</v>
      </c>
      <c r="U3" s="214">
        <f t="shared" si="2"/>
        <v>5.75</v>
      </c>
      <c r="V3" s="214">
        <f t="shared" si="3"/>
        <v>7.1428571428571432</v>
      </c>
      <c r="W3" s="217">
        <f t="shared" si="4"/>
        <v>13.285714285714286</v>
      </c>
      <c r="X3" s="214"/>
      <c r="Y3" s="215"/>
      <c r="Z3" s="215">
        <f t="shared" ref="Z3:Z13" si="6">T3-R3</f>
        <v>-2.0632183908045971</v>
      </c>
    </row>
    <row r="4" spans="1:26">
      <c r="A4" s="213">
        <v>2428</v>
      </c>
      <c r="B4" s="213" t="s">
        <v>78</v>
      </c>
      <c r="C4" s="216">
        <v>43</v>
      </c>
      <c r="D4" s="216">
        <v>43483</v>
      </c>
      <c r="E4" s="216">
        <v>42</v>
      </c>
      <c r="F4" s="216">
        <v>43556</v>
      </c>
      <c r="G4" s="216">
        <v>41</v>
      </c>
      <c r="H4" s="216">
        <v>43647</v>
      </c>
      <c r="I4" s="216">
        <v>39</v>
      </c>
      <c r="J4" s="216">
        <v>43731</v>
      </c>
      <c r="K4" s="216">
        <v>34</v>
      </c>
      <c r="L4" s="216">
        <v>43822</v>
      </c>
      <c r="M4" s="216">
        <v>32</v>
      </c>
      <c r="N4" s="216">
        <v>43885</v>
      </c>
      <c r="O4" s="216"/>
      <c r="P4" s="216"/>
      <c r="Q4" s="216">
        <v>32</v>
      </c>
      <c r="R4" s="214">
        <f t="shared" si="0"/>
        <v>-0.83333333333333337</v>
      </c>
      <c r="S4" s="214">
        <f t="shared" si="1"/>
        <v>2.6071428571428572</v>
      </c>
      <c r="T4" s="214">
        <f t="shared" si="5"/>
        <v>-0.38356164383561642</v>
      </c>
      <c r="U4" s="214">
        <f t="shared" si="2"/>
        <v>3.25</v>
      </c>
      <c r="V4" s="214">
        <f t="shared" si="3"/>
        <v>6.25</v>
      </c>
      <c r="W4" s="214">
        <f t="shared" si="4"/>
        <v>9.5</v>
      </c>
      <c r="X4" s="217">
        <f>(N4-F4)/28</f>
        <v>11.75</v>
      </c>
      <c r="Y4" s="215"/>
      <c r="Z4" s="215">
        <f t="shared" si="6"/>
        <v>0.44977168949771695</v>
      </c>
    </row>
    <row r="5" spans="1:26">
      <c r="A5" s="213">
        <v>1154</v>
      </c>
      <c r="B5" s="213" t="s">
        <v>486</v>
      </c>
      <c r="C5" s="216">
        <v>38</v>
      </c>
      <c r="D5" s="216">
        <v>41689</v>
      </c>
      <c r="E5" s="216">
        <v>29</v>
      </c>
      <c r="F5" s="216">
        <v>42089</v>
      </c>
      <c r="G5" s="216">
        <v>25</v>
      </c>
      <c r="H5" s="216">
        <v>42198</v>
      </c>
      <c r="I5" s="216">
        <v>25</v>
      </c>
      <c r="J5" s="216">
        <v>42254</v>
      </c>
      <c r="K5" s="216">
        <v>21</v>
      </c>
      <c r="L5" s="216">
        <v>42464</v>
      </c>
      <c r="M5" s="216">
        <v>18</v>
      </c>
      <c r="N5" s="216">
        <v>42779</v>
      </c>
      <c r="O5" s="216">
        <v>18</v>
      </c>
      <c r="P5" s="216">
        <v>43108</v>
      </c>
      <c r="Q5" s="216">
        <v>21</v>
      </c>
      <c r="R5" s="214">
        <f t="shared" si="0"/>
        <v>-0.66666666666666663</v>
      </c>
      <c r="S5" s="214">
        <f t="shared" si="1"/>
        <v>14.285714285714286</v>
      </c>
      <c r="T5" s="214">
        <f t="shared" si="5"/>
        <v>-0.63</v>
      </c>
      <c r="U5" s="214">
        <f t="shared" si="2"/>
        <v>3.8928571428571428</v>
      </c>
      <c r="V5" s="214">
        <f t="shared" si="3"/>
        <v>5.8928571428571432</v>
      </c>
      <c r="W5" s="217">
        <f t="shared" si="4"/>
        <v>13.392857142857142</v>
      </c>
      <c r="X5" s="214">
        <f>(N5-F5)/28</f>
        <v>24.642857142857142</v>
      </c>
      <c r="Y5" s="215">
        <f>(P5-F5)/28</f>
        <v>36.392857142857146</v>
      </c>
      <c r="Z5" s="215">
        <f t="shared" si="6"/>
        <v>3.6666666666666625E-2</v>
      </c>
    </row>
    <row r="6" spans="1:26">
      <c r="A6" s="213">
        <v>1270</v>
      </c>
      <c r="B6" s="213" t="s">
        <v>7</v>
      </c>
      <c r="C6" s="216">
        <v>43</v>
      </c>
      <c r="D6" s="216">
        <v>41858</v>
      </c>
      <c r="E6" s="216">
        <v>39</v>
      </c>
      <c r="F6" s="216">
        <v>42159</v>
      </c>
      <c r="G6" s="216">
        <v>38</v>
      </c>
      <c r="H6" s="216">
        <v>42296</v>
      </c>
      <c r="I6" s="216">
        <v>35</v>
      </c>
      <c r="J6" s="216">
        <v>42394</v>
      </c>
      <c r="K6" s="216">
        <v>33</v>
      </c>
      <c r="L6" s="216">
        <v>42481</v>
      </c>
      <c r="M6" s="216">
        <v>31</v>
      </c>
      <c r="N6" s="216">
        <v>42534</v>
      </c>
      <c r="O6" s="216">
        <v>31</v>
      </c>
      <c r="P6" s="216">
        <v>42590</v>
      </c>
      <c r="Q6" s="216">
        <v>33</v>
      </c>
      <c r="R6" s="214">
        <f t="shared" si="0"/>
        <v>-0.5</v>
      </c>
      <c r="S6" s="214">
        <f t="shared" si="1"/>
        <v>10.75</v>
      </c>
      <c r="T6" s="214">
        <f t="shared" si="5"/>
        <v>-0.37209302325581395</v>
      </c>
      <c r="U6" s="214">
        <f t="shared" si="2"/>
        <v>4.8928571428571432</v>
      </c>
      <c r="V6" s="214">
        <f t="shared" si="3"/>
        <v>8.3928571428571423</v>
      </c>
      <c r="W6" s="217">
        <f t="shared" si="4"/>
        <v>11.5</v>
      </c>
      <c r="X6" s="217">
        <f>(N6-F6)/28</f>
        <v>13.392857142857142</v>
      </c>
      <c r="Y6" s="215">
        <f>(P6-F6)/28</f>
        <v>15.392857142857142</v>
      </c>
      <c r="Z6" s="215">
        <f t="shared" si="6"/>
        <v>0.12790697674418605</v>
      </c>
    </row>
    <row r="7" spans="1:26">
      <c r="A7" s="213">
        <v>2102</v>
      </c>
      <c r="B7" s="213" t="s">
        <v>6</v>
      </c>
      <c r="C7" s="216">
        <v>33</v>
      </c>
      <c r="D7" s="216">
        <v>43034</v>
      </c>
      <c r="E7" s="216">
        <v>33</v>
      </c>
      <c r="F7" s="216">
        <v>43062</v>
      </c>
      <c r="G7" s="216">
        <v>30</v>
      </c>
      <c r="H7" s="216">
        <v>43318</v>
      </c>
      <c r="I7" s="216">
        <v>27</v>
      </c>
      <c r="J7" s="216">
        <v>43378</v>
      </c>
      <c r="K7" s="216">
        <v>27</v>
      </c>
      <c r="L7" s="216">
        <v>43432</v>
      </c>
      <c r="M7" s="216"/>
      <c r="N7" s="216"/>
      <c r="O7" s="216"/>
      <c r="P7" s="216"/>
      <c r="Q7" s="216">
        <v>27</v>
      </c>
      <c r="R7" s="214">
        <f t="shared" si="0"/>
        <v>-0.5</v>
      </c>
      <c r="S7" s="214">
        <f t="shared" si="1"/>
        <v>1</v>
      </c>
      <c r="T7" s="214">
        <f t="shared" si="5"/>
        <v>0</v>
      </c>
      <c r="U7" s="214">
        <f t="shared" si="2"/>
        <v>9.1428571428571423</v>
      </c>
      <c r="V7" s="217">
        <f t="shared" si="3"/>
        <v>11.285714285714286</v>
      </c>
      <c r="W7" s="217">
        <f t="shared" si="4"/>
        <v>13.214285714285714</v>
      </c>
      <c r="X7" s="214"/>
      <c r="Y7" s="215"/>
      <c r="Z7" s="215">
        <f t="shared" si="6"/>
        <v>0.5</v>
      </c>
    </row>
    <row r="8" spans="1:26">
      <c r="A8" s="213">
        <v>2103</v>
      </c>
      <c r="B8" s="213" t="s">
        <v>13</v>
      </c>
      <c r="C8" s="216">
        <v>47</v>
      </c>
      <c r="D8" s="216">
        <v>43035</v>
      </c>
      <c r="E8" s="216">
        <v>47</v>
      </c>
      <c r="F8" s="216">
        <v>43119</v>
      </c>
      <c r="G8" s="216">
        <v>42</v>
      </c>
      <c r="H8" s="216">
        <v>43395</v>
      </c>
      <c r="I8" s="216">
        <v>40</v>
      </c>
      <c r="J8" s="216">
        <v>43556</v>
      </c>
      <c r="K8" s="216">
        <v>36</v>
      </c>
      <c r="L8" s="216">
        <v>43699</v>
      </c>
      <c r="M8" s="216">
        <v>33</v>
      </c>
      <c r="N8" s="216">
        <v>43850</v>
      </c>
      <c r="O8" s="216">
        <v>31</v>
      </c>
      <c r="P8" s="216">
        <v>43934</v>
      </c>
      <c r="Q8" s="216">
        <v>41</v>
      </c>
      <c r="R8" s="214">
        <f t="shared" si="0"/>
        <v>-0.5</v>
      </c>
      <c r="S8" s="214">
        <f t="shared" si="1"/>
        <v>3</v>
      </c>
      <c r="T8" s="214">
        <f t="shared" si="5"/>
        <v>0</v>
      </c>
      <c r="U8" s="214">
        <f t="shared" si="2"/>
        <v>9.8571428571428577</v>
      </c>
      <c r="V8" s="214">
        <f t="shared" si="3"/>
        <v>15.607142857142858</v>
      </c>
      <c r="W8" s="214">
        <f t="shared" si="4"/>
        <v>20.714285714285715</v>
      </c>
      <c r="X8" s="214">
        <f>(N8-F8)/28</f>
        <v>26.107142857142858</v>
      </c>
      <c r="Y8" s="215">
        <f>(P8-F8)/28</f>
        <v>29.107142857142858</v>
      </c>
      <c r="Z8" s="215">
        <f t="shared" si="6"/>
        <v>0.5</v>
      </c>
    </row>
    <row r="9" spans="1:26">
      <c r="A9" s="213">
        <v>1265</v>
      </c>
      <c r="B9" s="213" t="s">
        <v>485</v>
      </c>
      <c r="C9" s="216">
        <v>41</v>
      </c>
      <c r="D9" s="216">
        <v>41858</v>
      </c>
      <c r="E9" s="216">
        <v>34</v>
      </c>
      <c r="F9" s="216">
        <v>42111</v>
      </c>
      <c r="G9" s="216">
        <v>33</v>
      </c>
      <c r="H9" s="216">
        <v>42240</v>
      </c>
      <c r="I9" s="216">
        <v>33</v>
      </c>
      <c r="J9" s="216">
        <v>42359</v>
      </c>
      <c r="K9" s="216">
        <v>31</v>
      </c>
      <c r="L9" s="216">
        <v>42478</v>
      </c>
      <c r="M9" s="216">
        <v>19</v>
      </c>
      <c r="N9" s="216">
        <v>42814</v>
      </c>
      <c r="O9" s="216">
        <v>9</v>
      </c>
      <c r="P9" s="216">
        <v>43145</v>
      </c>
      <c r="Q9" s="216">
        <v>33</v>
      </c>
      <c r="R9" s="214">
        <f t="shared" si="0"/>
        <v>-8.3333333333333329E-2</v>
      </c>
      <c r="S9" s="214">
        <f t="shared" si="1"/>
        <v>9.0357142857142865</v>
      </c>
      <c r="T9" s="214">
        <f t="shared" si="5"/>
        <v>-0.77470355731225293</v>
      </c>
      <c r="U9" s="214">
        <f t="shared" si="2"/>
        <v>4.6071428571428568</v>
      </c>
      <c r="V9" s="214">
        <f t="shared" si="3"/>
        <v>8.8571428571428577</v>
      </c>
      <c r="W9" s="217">
        <f t="shared" si="4"/>
        <v>13.107142857142858</v>
      </c>
      <c r="X9" s="214">
        <f>(N9-F9)/28</f>
        <v>25.107142857142858</v>
      </c>
      <c r="Y9" s="215">
        <f>(P9-F9)/28</f>
        <v>36.928571428571431</v>
      </c>
      <c r="Z9" s="215">
        <f t="shared" si="6"/>
        <v>-0.69137022397891956</v>
      </c>
    </row>
    <row r="10" spans="1:26">
      <c r="A10" s="213">
        <v>1186</v>
      </c>
      <c r="B10" s="213" t="s">
        <v>484</v>
      </c>
      <c r="C10" s="216">
        <v>34</v>
      </c>
      <c r="D10" s="216">
        <v>41908</v>
      </c>
      <c r="E10" s="216">
        <v>26</v>
      </c>
      <c r="F10" s="216">
        <v>42117</v>
      </c>
      <c r="G10" s="216">
        <v>25</v>
      </c>
      <c r="H10" s="216">
        <v>42156</v>
      </c>
      <c r="I10" s="216">
        <v>25</v>
      </c>
      <c r="J10" s="216">
        <v>42488</v>
      </c>
      <c r="K10" s="216">
        <v>25</v>
      </c>
      <c r="L10" s="216">
        <v>42583</v>
      </c>
      <c r="M10" s="216">
        <v>24</v>
      </c>
      <c r="N10" s="216">
        <v>42744</v>
      </c>
      <c r="O10" s="216">
        <v>23</v>
      </c>
      <c r="P10" s="216">
        <v>42811</v>
      </c>
      <c r="Q10" s="216">
        <v>25</v>
      </c>
      <c r="R10" s="214">
        <f t="shared" si="0"/>
        <v>-8.3333333333333329E-2</v>
      </c>
      <c r="S10" s="214">
        <f t="shared" si="1"/>
        <v>7.4642857142857144</v>
      </c>
      <c r="T10" s="214">
        <f t="shared" si="5"/>
        <v>-1.0717703349282297</v>
      </c>
      <c r="U10" s="214">
        <f t="shared" si="2"/>
        <v>1.3928571428571428</v>
      </c>
      <c r="V10" s="217">
        <f t="shared" si="3"/>
        <v>13.25</v>
      </c>
      <c r="W10" s="214">
        <f t="shared" si="4"/>
        <v>16.642857142857142</v>
      </c>
      <c r="X10" s="214">
        <f>(N10-F10)/28</f>
        <v>22.392857142857142</v>
      </c>
      <c r="Y10" s="215">
        <f>(P10-F10)/28</f>
        <v>24.785714285714285</v>
      </c>
      <c r="Z10" s="215">
        <f t="shared" si="6"/>
        <v>-0.98843700159489634</v>
      </c>
    </row>
    <row r="11" spans="1:26">
      <c r="A11" s="213">
        <v>1748</v>
      </c>
      <c r="B11" s="213" t="s">
        <v>14</v>
      </c>
      <c r="C11" s="216">
        <v>37</v>
      </c>
      <c r="D11" s="216">
        <v>42459</v>
      </c>
      <c r="E11" s="216">
        <v>36</v>
      </c>
      <c r="F11" s="216">
        <v>42488</v>
      </c>
      <c r="G11" s="216">
        <v>36</v>
      </c>
      <c r="H11" s="216">
        <v>42604</v>
      </c>
      <c r="I11" s="216">
        <v>34</v>
      </c>
      <c r="J11" s="216">
        <v>42733</v>
      </c>
      <c r="K11" s="216"/>
      <c r="L11" s="216"/>
      <c r="M11" s="216"/>
      <c r="N11" s="216"/>
      <c r="O11" s="216"/>
      <c r="P11" s="216"/>
      <c r="Q11" s="216"/>
      <c r="R11" s="214"/>
      <c r="S11" s="214">
        <f t="shared" si="1"/>
        <v>1.0357142857142858</v>
      </c>
      <c r="T11" s="214">
        <f t="shared" si="5"/>
        <v>-0.96551724137931028</v>
      </c>
      <c r="U11" s="214">
        <f t="shared" si="2"/>
        <v>4.1428571428571432</v>
      </c>
      <c r="V11" s="214">
        <f t="shared" si="3"/>
        <v>8.75</v>
      </c>
      <c r="W11" s="214"/>
      <c r="X11" s="214"/>
      <c r="Y11" s="215"/>
      <c r="Z11" s="215"/>
    </row>
    <row r="12" spans="1:26">
      <c r="A12" s="213">
        <v>1701</v>
      </c>
      <c r="B12" s="213" t="s">
        <v>4</v>
      </c>
      <c r="C12" s="216">
        <v>46</v>
      </c>
      <c r="D12" s="216">
        <v>42384</v>
      </c>
      <c r="E12" s="216">
        <v>41</v>
      </c>
      <c r="F12" s="216">
        <v>42524</v>
      </c>
      <c r="G12" s="216">
        <v>40</v>
      </c>
      <c r="H12" s="216">
        <v>42639</v>
      </c>
      <c r="I12" s="216">
        <v>40</v>
      </c>
      <c r="J12" s="216">
        <v>42695</v>
      </c>
      <c r="K12" s="216">
        <v>40</v>
      </c>
      <c r="L12" s="216">
        <v>42769</v>
      </c>
      <c r="M12" s="216">
        <v>40</v>
      </c>
      <c r="N12" s="216">
        <v>42867</v>
      </c>
      <c r="O12" s="216">
        <v>39</v>
      </c>
      <c r="P12" s="216">
        <v>42936</v>
      </c>
      <c r="Q12" s="216">
        <v>40</v>
      </c>
      <c r="R12" s="214">
        <f t="shared" si="0"/>
        <v>-8.3333333333333329E-2</v>
      </c>
      <c r="S12" s="214">
        <f t="shared" si="1"/>
        <v>5</v>
      </c>
      <c r="T12" s="214">
        <f t="shared" si="5"/>
        <v>-1</v>
      </c>
      <c r="U12" s="214">
        <f t="shared" si="2"/>
        <v>4.1071428571428568</v>
      </c>
      <c r="V12" s="214">
        <f t="shared" si="3"/>
        <v>6.1071428571428568</v>
      </c>
      <c r="W12" s="214">
        <f t="shared" ref="W12:W17" si="7">(L12-F12)/28</f>
        <v>8.75</v>
      </c>
      <c r="X12" s="217">
        <f>(N12-F12)/28</f>
        <v>12.25</v>
      </c>
      <c r="Y12" s="215">
        <f>(P12-F12)/28</f>
        <v>14.714285714285714</v>
      </c>
      <c r="Z12" s="215">
        <f t="shared" si="6"/>
        <v>-0.91666666666666663</v>
      </c>
    </row>
    <row r="13" spans="1:26">
      <c r="A13" s="213">
        <v>2039</v>
      </c>
      <c r="B13" s="213" t="s">
        <v>8</v>
      </c>
      <c r="C13" s="216">
        <v>35</v>
      </c>
      <c r="D13" s="216">
        <v>42940</v>
      </c>
      <c r="E13" s="216">
        <v>36</v>
      </c>
      <c r="F13" s="216">
        <v>42972</v>
      </c>
      <c r="G13" s="216">
        <v>34</v>
      </c>
      <c r="H13" s="216">
        <v>43157</v>
      </c>
      <c r="I13" s="216">
        <v>27</v>
      </c>
      <c r="J13" s="216">
        <v>43224</v>
      </c>
      <c r="K13" s="216">
        <v>27</v>
      </c>
      <c r="L13" s="216">
        <v>43249</v>
      </c>
      <c r="M13" s="216">
        <v>21</v>
      </c>
      <c r="N13" s="216">
        <v>43357</v>
      </c>
      <c r="O13" s="216"/>
      <c r="P13" s="216"/>
      <c r="Q13" s="216">
        <v>21</v>
      </c>
      <c r="R13" s="214">
        <f t="shared" si="0"/>
        <v>-1.25</v>
      </c>
      <c r="S13" s="214">
        <f t="shared" si="1"/>
        <v>1.1428571428571428</v>
      </c>
      <c r="T13" s="214">
        <f t="shared" si="5"/>
        <v>0.875</v>
      </c>
      <c r="U13" s="214">
        <f t="shared" si="2"/>
        <v>6.6071428571428568</v>
      </c>
      <c r="V13" s="214">
        <f t="shared" si="3"/>
        <v>9</v>
      </c>
      <c r="W13" s="214">
        <f t="shared" si="7"/>
        <v>9.8928571428571423</v>
      </c>
      <c r="X13" s="217">
        <f>(N13-F13)/28</f>
        <v>13.75</v>
      </c>
      <c r="Y13" s="215"/>
      <c r="Z13" s="215">
        <f t="shared" si="6"/>
        <v>2.125</v>
      </c>
    </row>
    <row r="14" spans="1:26">
      <c r="A14" s="213">
        <v>2081</v>
      </c>
      <c r="B14" s="213" t="s">
        <v>1</v>
      </c>
      <c r="C14" s="216">
        <v>32</v>
      </c>
      <c r="D14" s="216">
        <v>43006</v>
      </c>
      <c r="E14" s="216">
        <v>31</v>
      </c>
      <c r="F14" s="216">
        <v>43035</v>
      </c>
      <c r="G14" s="216">
        <v>31</v>
      </c>
      <c r="H14" s="216">
        <v>43061</v>
      </c>
      <c r="I14" s="216">
        <v>24</v>
      </c>
      <c r="J14" s="216">
        <v>43221</v>
      </c>
      <c r="K14" s="216">
        <v>24</v>
      </c>
      <c r="L14" s="216">
        <v>43517</v>
      </c>
      <c r="M14" s="216">
        <v>24</v>
      </c>
      <c r="N14" s="216">
        <v>43543</v>
      </c>
      <c r="O14" s="216">
        <v>21</v>
      </c>
      <c r="P14" s="216">
        <v>43781</v>
      </c>
      <c r="Q14" s="216"/>
      <c r="R14" s="214"/>
      <c r="S14" s="214">
        <f t="shared" si="1"/>
        <v>1.0357142857142858</v>
      </c>
      <c r="T14" s="214">
        <f t="shared" si="5"/>
        <v>-0.96551724137931028</v>
      </c>
      <c r="U14" s="214">
        <f t="shared" si="2"/>
        <v>0.9285714285714286</v>
      </c>
      <c r="V14" s="214">
        <f t="shared" si="3"/>
        <v>6.6428571428571432</v>
      </c>
      <c r="W14" s="214">
        <f t="shared" si="7"/>
        <v>17.214285714285715</v>
      </c>
      <c r="X14" s="214">
        <f>(N14-F14)/28</f>
        <v>18.142857142857142</v>
      </c>
      <c r="Y14" s="215">
        <f>(P14-F14)/28</f>
        <v>26.642857142857142</v>
      </c>
      <c r="Z14" s="215"/>
    </row>
    <row r="15" spans="1:26">
      <c r="A15" s="213">
        <v>2272</v>
      </c>
      <c r="B15" s="213" t="s">
        <v>11</v>
      </c>
      <c r="C15" s="216">
        <v>46</v>
      </c>
      <c r="D15" s="216">
        <v>43272</v>
      </c>
      <c r="E15" s="216">
        <v>46</v>
      </c>
      <c r="F15" s="216">
        <v>43300</v>
      </c>
      <c r="G15" s="216">
        <v>46</v>
      </c>
      <c r="H15" s="216">
        <v>43426</v>
      </c>
      <c r="I15" s="216">
        <v>45</v>
      </c>
      <c r="J15" s="216">
        <v>43454</v>
      </c>
      <c r="K15" s="216">
        <v>45</v>
      </c>
      <c r="L15" s="216">
        <v>43480</v>
      </c>
      <c r="M15" s="216"/>
      <c r="N15" s="216"/>
      <c r="O15" s="216"/>
      <c r="P15" s="216"/>
      <c r="Q15" s="216"/>
      <c r="R15" s="214"/>
      <c r="S15" s="214">
        <f t="shared" si="1"/>
        <v>1</v>
      </c>
      <c r="T15" s="214">
        <f t="shared" si="5"/>
        <v>0</v>
      </c>
      <c r="U15" s="214">
        <f t="shared" si="2"/>
        <v>4.5</v>
      </c>
      <c r="V15" s="214">
        <f t="shared" si="3"/>
        <v>5.5</v>
      </c>
      <c r="W15" s="214">
        <f t="shared" si="7"/>
        <v>6.4285714285714288</v>
      </c>
      <c r="X15" s="214"/>
      <c r="Y15" s="215"/>
      <c r="Z15" s="215"/>
    </row>
    <row r="16" spans="1:26">
      <c r="A16" s="213">
        <v>2335</v>
      </c>
      <c r="B16" s="213" t="s">
        <v>10</v>
      </c>
      <c r="C16" s="216">
        <v>41</v>
      </c>
      <c r="D16" s="216">
        <v>43356</v>
      </c>
      <c r="E16" s="216">
        <v>39</v>
      </c>
      <c r="F16" s="216">
        <v>43383</v>
      </c>
      <c r="G16" s="216">
        <v>38</v>
      </c>
      <c r="H16" s="216">
        <v>43531</v>
      </c>
      <c r="I16" s="216">
        <v>37</v>
      </c>
      <c r="J16" s="216">
        <v>43567</v>
      </c>
      <c r="K16" s="216">
        <v>36</v>
      </c>
      <c r="L16" s="216">
        <v>43595</v>
      </c>
      <c r="M16" s="216">
        <v>29</v>
      </c>
      <c r="N16" s="216">
        <v>43829</v>
      </c>
      <c r="O16" s="216"/>
      <c r="P16" s="216"/>
      <c r="Q16" s="216"/>
      <c r="R16" s="214"/>
      <c r="S16" s="214">
        <f t="shared" si="1"/>
        <v>0.9642857142857143</v>
      </c>
      <c r="T16" s="214">
        <f t="shared" si="5"/>
        <v>-2.074074074074074</v>
      </c>
      <c r="U16" s="214">
        <f t="shared" si="2"/>
        <v>5.2857142857142856</v>
      </c>
      <c r="V16" s="214">
        <f t="shared" si="3"/>
        <v>6.5714285714285712</v>
      </c>
      <c r="W16" s="214">
        <f t="shared" si="7"/>
        <v>7.5714285714285712</v>
      </c>
      <c r="X16" s="214">
        <f>(N16-F16)/28</f>
        <v>15.928571428571429</v>
      </c>
      <c r="Y16" s="215"/>
      <c r="Z16" s="215"/>
    </row>
    <row r="17" spans="1:26">
      <c r="A17" s="213">
        <v>2383</v>
      </c>
      <c r="B17" s="213" t="s">
        <v>12</v>
      </c>
      <c r="C17" s="216">
        <v>43</v>
      </c>
      <c r="D17" s="216">
        <v>43426</v>
      </c>
      <c r="E17" s="216">
        <v>43</v>
      </c>
      <c r="F17" s="216">
        <v>43454</v>
      </c>
      <c r="G17" s="216">
        <v>43</v>
      </c>
      <c r="H17" s="216">
        <v>43480</v>
      </c>
      <c r="I17" s="216">
        <v>39</v>
      </c>
      <c r="J17" s="216">
        <v>43707</v>
      </c>
      <c r="K17" s="216">
        <v>39</v>
      </c>
      <c r="L17" s="216">
        <v>43756</v>
      </c>
      <c r="M17" s="216"/>
      <c r="N17" s="216"/>
      <c r="O17" s="216"/>
      <c r="P17" s="216"/>
      <c r="Q17" s="216"/>
      <c r="R17" s="214"/>
      <c r="S17" s="214">
        <f t="shared" si="1"/>
        <v>1</v>
      </c>
      <c r="T17" s="214">
        <f t="shared" si="5"/>
        <v>0</v>
      </c>
      <c r="U17" s="214">
        <f t="shared" si="2"/>
        <v>0.9285714285714286</v>
      </c>
      <c r="V17" s="214">
        <f t="shared" si="3"/>
        <v>9.0357142857142865</v>
      </c>
      <c r="W17" s="214">
        <f t="shared" si="7"/>
        <v>10.785714285714286</v>
      </c>
      <c r="X17" s="214"/>
      <c r="Y17" s="215"/>
      <c r="Z17" s="215"/>
    </row>
    <row r="18" spans="1:26">
      <c r="A18" s="213">
        <v>2445</v>
      </c>
      <c r="B18" s="213" t="s">
        <v>16</v>
      </c>
      <c r="C18" s="216">
        <v>42</v>
      </c>
      <c r="D18" s="216">
        <v>43504</v>
      </c>
      <c r="E18" s="216">
        <v>42</v>
      </c>
      <c r="F18" s="216">
        <v>43532</v>
      </c>
      <c r="G18" s="216">
        <v>42</v>
      </c>
      <c r="H18" s="216">
        <v>43558</v>
      </c>
      <c r="I18" s="216">
        <v>42</v>
      </c>
      <c r="J18" s="216">
        <v>43740</v>
      </c>
      <c r="K18" s="216"/>
      <c r="L18" s="216"/>
      <c r="M18" s="216"/>
      <c r="N18" s="216"/>
      <c r="O18" s="216"/>
      <c r="P18" s="216"/>
      <c r="Q18" s="216"/>
      <c r="R18" s="214"/>
      <c r="S18" s="214">
        <f t="shared" si="1"/>
        <v>1</v>
      </c>
      <c r="T18" s="214">
        <f t="shared" si="5"/>
        <v>0</v>
      </c>
      <c r="U18" s="214">
        <f t="shared" si="2"/>
        <v>0.9285714285714286</v>
      </c>
      <c r="V18" s="214">
        <f t="shared" si="3"/>
        <v>7.4285714285714288</v>
      </c>
      <c r="W18" s="214"/>
      <c r="X18" s="214"/>
      <c r="Y18" s="215"/>
      <c r="Z18" s="215"/>
    </row>
    <row r="19" spans="1:26">
      <c r="A19" s="213">
        <v>2497</v>
      </c>
      <c r="B19" s="213" t="s">
        <v>15</v>
      </c>
      <c r="C19" s="216">
        <v>43</v>
      </c>
      <c r="D19" s="216">
        <v>43559</v>
      </c>
      <c r="E19" s="216">
        <v>43</v>
      </c>
      <c r="F19" s="216">
        <v>43587</v>
      </c>
      <c r="G19" s="216">
        <v>43</v>
      </c>
      <c r="H19" s="216">
        <v>43613</v>
      </c>
      <c r="I19" s="216">
        <v>36</v>
      </c>
      <c r="J19" s="216">
        <v>43833</v>
      </c>
      <c r="K19" s="216"/>
      <c r="L19" s="216"/>
      <c r="M19" s="216"/>
      <c r="N19" s="216"/>
      <c r="O19" s="216"/>
      <c r="P19" s="216"/>
      <c r="Q19" s="216"/>
      <c r="R19" s="214"/>
      <c r="S19" s="214">
        <f t="shared" si="1"/>
        <v>1</v>
      </c>
      <c r="T19" s="214">
        <f t="shared" si="5"/>
        <v>0</v>
      </c>
      <c r="U19" s="214">
        <f t="shared" si="2"/>
        <v>0.9285714285714286</v>
      </c>
      <c r="V19" s="214">
        <f t="shared" si="3"/>
        <v>8.7857142857142865</v>
      </c>
      <c r="W19" s="214"/>
      <c r="X19" s="214"/>
      <c r="Y19" s="215"/>
      <c r="Z19" s="215"/>
    </row>
    <row r="20" spans="1:26">
      <c r="A20" s="213">
        <v>2504</v>
      </c>
      <c r="B20" s="213" t="s">
        <v>17</v>
      </c>
      <c r="C20" s="216">
        <v>42</v>
      </c>
      <c r="D20" s="216">
        <v>43566</v>
      </c>
      <c r="E20" s="216">
        <v>42</v>
      </c>
      <c r="F20" s="216">
        <v>43594</v>
      </c>
      <c r="G20" s="216">
        <v>42</v>
      </c>
      <c r="H20" s="216">
        <v>43620</v>
      </c>
      <c r="I20" s="216">
        <v>38</v>
      </c>
      <c r="J20" s="216">
        <v>43791</v>
      </c>
      <c r="K20" s="216"/>
      <c r="L20" s="216"/>
      <c r="M20" s="216"/>
      <c r="N20" s="216"/>
      <c r="O20" s="216"/>
      <c r="P20" s="216"/>
      <c r="Q20" s="216"/>
      <c r="R20" s="214"/>
      <c r="S20" s="214">
        <f t="shared" si="1"/>
        <v>1</v>
      </c>
      <c r="T20" s="214">
        <f t="shared" si="5"/>
        <v>0</v>
      </c>
      <c r="U20" s="214">
        <f t="shared" si="2"/>
        <v>0.9285714285714286</v>
      </c>
      <c r="V20" s="214">
        <f t="shared" si="3"/>
        <v>7.0357142857142856</v>
      </c>
      <c r="W20" s="214"/>
      <c r="X20" s="214"/>
      <c r="Y20" s="215"/>
      <c r="Z20" s="215"/>
    </row>
    <row r="21" spans="1:26">
      <c r="A21" s="213">
        <v>2532</v>
      </c>
      <c r="B21" s="213" t="s">
        <v>76</v>
      </c>
      <c r="C21" s="216">
        <v>31</v>
      </c>
      <c r="D21" s="216">
        <v>43601</v>
      </c>
      <c r="E21" s="216">
        <v>29</v>
      </c>
      <c r="F21" s="216">
        <v>43629</v>
      </c>
      <c r="G21" s="216">
        <v>26</v>
      </c>
      <c r="H21" s="216">
        <v>43746</v>
      </c>
      <c r="I21" s="216">
        <v>25</v>
      </c>
      <c r="J21" s="216">
        <v>43857</v>
      </c>
      <c r="K21" s="216"/>
      <c r="L21" s="216"/>
      <c r="M21" s="216"/>
      <c r="N21" s="216"/>
      <c r="O21" s="216"/>
      <c r="P21" s="216"/>
      <c r="Q21" s="216"/>
      <c r="R21" s="214"/>
      <c r="S21" s="214">
        <f t="shared" si="1"/>
        <v>1</v>
      </c>
      <c r="T21" s="214">
        <f t="shared" si="5"/>
        <v>-2</v>
      </c>
      <c r="U21" s="214">
        <f t="shared" si="2"/>
        <v>4.1785714285714288</v>
      </c>
      <c r="V21" s="214">
        <f t="shared" si="3"/>
        <v>8.1428571428571423</v>
      </c>
      <c r="W21" s="214"/>
      <c r="X21" s="214"/>
      <c r="Y21" s="215"/>
      <c r="Z21" s="215"/>
    </row>
    <row r="22" spans="1:26">
      <c r="A22" s="213">
        <v>2533</v>
      </c>
      <c r="B22" s="213" t="s">
        <v>77</v>
      </c>
      <c r="C22" s="216">
        <v>36</v>
      </c>
      <c r="D22" s="216">
        <v>43602</v>
      </c>
      <c r="E22" s="216">
        <v>35</v>
      </c>
      <c r="F22" s="216">
        <v>43630</v>
      </c>
      <c r="G22" s="216">
        <v>34</v>
      </c>
      <c r="H22" s="216">
        <v>43693</v>
      </c>
      <c r="I22" s="216">
        <v>31</v>
      </c>
      <c r="J22" s="216">
        <v>43740</v>
      </c>
      <c r="K22" s="216"/>
      <c r="L22" s="216"/>
      <c r="M22" s="216"/>
      <c r="N22" s="216"/>
      <c r="O22" s="216"/>
      <c r="P22" s="216"/>
      <c r="Q22" s="216"/>
      <c r="R22" s="214"/>
      <c r="S22" s="214">
        <f t="shared" si="1"/>
        <v>1</v>
      </c>
      <c r="T22" s="214">
        <f t="shared" si="5"/>
        <v>-1</v>
      </c>
      <c r="U22" s="214">
        <f t="shared" si="2"/>
        <v>2.25</v>
      </c>
      <c r="V22" s="214">
        <f t="shared" si="3"/>
        <v>3.9285714285714284</v>
      </c>
      <c r="W22" s="214"/>
      <c r="X22" s="214"/>
      <c r="Y22" s="215"/>
      <c r="Z22" s="215"/>
    </row>
    <row r="23" spans="1:26">
      <c r="A23" s="213">
        <v>2541</v>
      </c>
      <c r="B23" s="213" t="s">
        <v>18</v>
      </c>
      <c r="C23" s="216">
        <v>37</v>
      </c>
      <c r="D23" s="216">
        <v>43615</v>
      </c>
      <c r="E23" s="216">
        <v>37</v>
      </c>
      <c r="F23" s="216">
        <v>43643</v>
      </c>
      <c r="G23" s="216">
        <v>37</v>
      </c>
      <c r="H23" s="216">
        <v>43669</v>
      </c>
      <c r="I23" s="216">
        <v>37</v>
      </c>
      <c r="J23" s="216">
        <v>43777</v>
      </c>
      <c r="K23" s="216"/>
      <c r="L23" s="216"/>
      <c r="M23" s="216"/>
      <c r="N23" s="216"/>
      <c r="O23" s="216"/>
      <c r="P23" s="216"/>
      <c r="Q23" s="216"/>
      <c r="R23" s="214"/>
      <c r="S23" s="214">
        <f t="shared" si="1"/>
        <v>1</v>
      </c>
      <c r="T23" s="214">
        <f t="shared" si="5"/>
        <v>0</v>
      </c>
      <c r="U23" s="214">
        <f t="shared" si="2"/>
        <v>0.9285714285714286</v>
      </c>
      <c r="V23" s="214">
        <f t="shared" si="3"/>
        <v>4.7857142857142856</v>
      </c>
      <c r="W23" s="214"/>
      <c r="X23" s="214"/>
      <c r="Y23" s="215"/>
      <c r="Z23" s="215"/>
    </row>
    <row r="24" spans="1:26">
      <c r="A24" s="213">
        <v>2595</v>
      </c>
      <c r="B24" s="213" t="s">
        <v>487</v>
      </c>
      <c r="C24" s="216">
        <v>30</v>
      </c>
      <c r="D24" s="216">
        <v>43685</v>
      </c>
      <c r="E24" s="216">
        <v>28</v>
      </c>
      <c r="F24" s="216">
        <v>43753</v>
      </c>
      <c r="G24" s="216">
        <v>25</v>
      </c>
      <c r="H24" s="216">
        <v>43781</v>
      </c>
      <c r="I24" s="216">
        <v>25</v>
      </c>
      <c r="J24" s="216">
        <v>43881</v>
      </c>
      <c r="K24" s="216"/>
      <c r="L24" s="216"/>
      <c r="M24" s="216"/>
      <c r="N24" s="216"/>
      <c r="O24" s="216"/>
      <c r="P24" s="216"/>
      <c r="Q24" s="216"/>
      <c r="R24" s="214"/>
      <c r="S24" s="214">
        <f t="shared" si="1"/>
        <v>2.4285714285714284</v>
      </c>
      <c r="T24" s="214">
        <f t="shared" si="5"/>
        <v>-0.82352941176470595</v>
      </c>
      <c r="U24" s="214">
        <f t="shared" si="2"/>
        <v>1</v>
      </c>
      <c r="V24" s="214">
        <f t="shared" si="3"/>
        <v>4.5714285714285712</v>
      </c>
      <c r="W24" s="214"/>
      <c r="X24" s="214"/>
      <c r="Y24" s="215"/>
      <c r="Z24" s="215"/>
    </row>
  </sheetData>
  <autoFilter ref="A1:Y24">
    <sortState ref="A2:Y24">
      <sortCondition ref="R1:R24"/>
    </sortState>
  </autoFilter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workbookViewId="0">
      <selection activeCell="G33" sqref="G33"/>
    </sheetView>
  </sheetViews>
  <sheetFormatPr defaultRowHeight="16.5"/>
  <cols>
    <col min="1" max="1" width="10.5" style="224" bestFit="1" customWidth="1"/>
    <col min="2" max="2" width="14.125" style="224" customWidth="1"/>
    <col min="3" max="5" width="10.5" style="224" customWidth="1"/>
  </cols>
  <sheetData>
    <row r="1" spans="1:8" ht="26.25" thickBot="1">
      <c r="A1" s="218" t="s">
        <v>492</v>
      </c>
      <c r="B1" s="225" t="s">
        <v>493</v>
      </c>
      <c r="C1" s="226" t="s">
        <v>494</v>
      </c>
      <c r="D1" s="226" t="s">
        <v>495</v>
      </c>
      <c r="E1" s="227" t="s">
        <v>496</v>
      </c>
      <c r="F1" s="212" t="s">
        <v>476</v>
      </c>
      <c r="G1" s="212" t="s">
        <v>490</v>
      </c>
    </row>
    <row r="2" spans="1:8" ht="17.25" thickTop="1">
      <c r="A2" s="219">
        <v>65</v>
      </c>
      <c r="B2" s="228">
        <v>0</v>
      </c>
      <c r="C2" s="228">
        <v>36</v>
      </c>
      <c r="D2" s="228">
        <v>29</v>
      </c>
      <c r="E2" s="228">
        <v>5</v>
      </c>
      <c r="F2" s="215">
        <f>(D2-C2)/3</f>
        <v>-2.3333333333333335</v>
      </c>
      <c r="G2" s="215">
        <f>(E2-D2)/12</f>
        <v>-2</v>
      </c>
      <c r="H2" s="215">
        <f>F2-G2</f>
        <v>-0.33333333333333348</v>
      </c>
    </row>
    <row r="3" spans="1:8">
      <c r="A3" s="220">
        <v>50</v>
      </c>
      <c r="B3" s="228">
        <v>0</v>
      </c>
      <c r="C3" s="228">
        <v>46</v>
      </c>
      <c r="D3" s="228">
        <v>40</v>
      </c>
      <c r="E3" s="228">
        <v>14</v>
      </c>
      <c r="F3" s="215">
        <f t="shared" ref="F3:F27" si="0">(D3-C3)/3</f>
        <v>-2</v>
      </c>
      <c r="G3" s="215">
        <f t="shared" ref="G3:G27" si="1">(E3-D3)/12</f>
        <v>-2.1666666666666665</v>
      </c>
      <c r="H3" s="215">
        <f t="shared" ref="H3:H27" si="2">F3-G3</f>
        <v>0.16666666666666652</v>
      </c>
    </row>
    <row r="4" spans="1:8">
      <c r="A4" s="220">
        <v>22</v>
      </c>
      <c r="B4" s="228">
        <v>0</v>
      </c>
      <c r="C4" s="228">
        <v>34</v>
      </c>
      <c r="D4" s="228">
        <v>33</v>
      </c>
      <c r="E4" s="228">
        <v>18</v>
      </c>
      <c r="F4" s="215">
        <f t="shared" si="0"/>
        <v>-0.33333333333333331</v>
      </c>
      <c r="G4" s="215">
        <f t="shared" si="1"/>
        <v>-1.25</v>
      </c>
      <c r="H4" s="215">
        <f t="shared" si="2"/>
        <v>0.91666666666666674</v>
      </c>
    </row>
    <row r="5" spans="1:8">
      <c r="A5" s="220">
        <v>24</v>
      </c>
      <c r="B5" s="228">
        <v>0</v>
      </c>
      <c r="C5" s="228">
        <v>41</v>
      </c>
      <c r="D5" s="228">
        <v>38</v>
      </c>
      <c r="E5" s="228">
        <v>20</v>
      </c>
      <c r="F5" s="215">
        <f t="shared" si="0"/>
        <v>-1</v>
      </c>
      <c r="G5" s="215">
        <f t="shared" si="1"/>
        <v>-1.5</v>
      </c>
      <c r="H5" s="215">
        <f t="shared" si="2"/>
        <v>0.5</v>
      </c>
    </row>
    <row r="6" spans="1:8">
      <c r="A6" s="220">
        <v>33</v>
      </c>
      <c r="B6" s="228">
        <v>0</v>
      </c>
      <c r="C6" s="228">
        <v>43</v>
      </c>
      <c r="D6" s="228">
        <v>40</v>
      </c>
      <c r="E6" s="228">
        <v>23</v>
      </c>
      <c r="F6" s="215">
        <f t="shared" si="0"/>
        <v>-1</v>
      </c>
      <c r="G6" s="215">
        <f t="shared" si="1"/>
        <v>-1.4166666666666667</v>
      </c>
      <c r="H6" s="215">
        <f t="shared" si="2"/>
        <v>0.41666666666666674</v>
      </c>
    </row>
    <row r="7" spans="1:8">
      <c r="A7" s="220">
        <v>20</v>
      </c>
      <c r="B7" s="228">
        <v>0</v>
      </c>
      <c r="C7" s="228">
        <v>35</v>
      </c>
      <c r="D7" s="228">
        <v>35</v>
      </c>
      <c r="E7" s="228">
        <v>25</v>
      </c>
      <c r="F7" s="215">
        <f t="shared" si="0"/>
        <v>0</v>
      </c>
      <c r="G7" s="215">
        <f t="shared" si="1"/>
        <v>-0.83333333333333337</v>
      </c>
      <c r="H7" s="215">
        <f t="shared" si="2"/>
        <v>0.83333333333333337</v>
      </c>
    </row>
    <row r="8" spans="1:8">
      <c r="A8" s="221">
        <v>48</v>
      </c>
      <c r="B8" s="228">
        <v>0</v>
      </c>
      <c r="C8" s="228">
        <v>39</v>
      </c>
      <c r="D8" s="228">
        <v>39</v>
      </c>
      <c r="E8" s="228">
        <v>30</v>
      </c>
      <c r="F8" s="215">
        <f t="shared" si="0"/>
        <v>0</v>
      </c>
      <c r="G8" s="215">
        <f t="shared" si="1"/>
        <v>-0.75</v>
      </c>
      <c r="H8" s="215">
        <f t="shared" si="2"/>
        <v>0.75</v>
      </c>
    </row>
    <row r="9" spans="1:8">
      <c r="A9" s="220">
        <v>52</v>
      </c>
      <c r="B9" s="228">
        <v>0</v>
      </c>
      <c r="C9" s="228">
        <v>42</v>
      </c>
      <c r="D9" s="228">
        <v>41</v>
      </c>
      <c r="E9" s="228">
        <v>30</v>
      </c>
      <c r="F9" s="215">
        <f t="shared" si="0"/>
        <v>-0.33333333333333331</v>
      </c>
      <c r="G9" s="215">
        <f t="shared" si="1"/>
        <v>-0.91666666666666663</v>
      </c>
      <c r="H9" s="215">
        <f t="shared" si="2"/>
        <v>0.58333333333333326</v>
      </c>
    </row>
    <row r="10" spans="1:8">
      <c r="A10" s="220">
        <v>77</v>
      </c>
      <c r="B10" s="228">
        <v>0</v>
      </c>
      <c r="C10" s="228">
        <v>35</v>
      </c>
      <c r="D10" s="228">
        <v>33</v>
      </c>
      <c r="E10" s="228">
        <v>31</v>
      </c>
      <c r="F10" s="215">
        <f t="shared" si="0"/>
        <v>-0.66666666666666663</v>
      </c>
      <c r="G10" s="215">
        <f t="shared" si="1"/>
        <v>-0.16666666666666666</v>
      </c>
      <c r="H10" s="215">
        <f t="shared" si="2"/>
        <v>-0.5</v>
      </c>
    </row>
    <row r="11" spans="1:8">
      <c r="A11" s="220">
        <v>67</v>
      </c>
      <c r="B11" s="228">
        <v>0</v>
      </c>
      <c r="C11" s="228">
        <v>36</v>
      </c>
      <c r="D11" s="228">
        <v>35</v>
      </c>
      <c r="E11" s="228">
        <v>32</v>
      </c>
      <c r="F11" s="215">
        <f t="shared" si="0"/>
        <v>-0.33333333333333331</v>
      </c>
      <c r="G11" s="215">
        <f t="shared" si="1"/>
        <v>-0.25</v>
      </c>
      <c r="H11" s="215">
        <f t="shared" si="2"/>
        <v>-8.3333333333333315E-2</v>
      </c>
    </row>
    <row r="12" spans="1:8">
      <c r="A12" s="220">
        <v>38</v>
      </c>
      <c r="B12" s="228">
        <v>0</v>
      </c>
      <c r="C12" s="228">
        <v>39</v>
      </c>
      <c r="D12" s="228">
        <v>39</v>
      </c>
      <c r="E12" s="228">
        <v>36</v>
      </c>
      <c r="F12" s="215">
        <f t="shared" si="0"/>
        <v>0</v>
      </c>
      <c r="G12" s="215">
        <f t="shared" si="1"/>
        <v>-0.25</v>
      </c>
      <c r="H12" s="215">
        <f t="shared" si="2"/>
        <v>0.25</v>
      </c>
    </row>
    <row r="13" spans="1:8">
      <c r="A13" s="220">
        <v>64</v>
      </c>
      <c r="B13" s="228">
        <v>1</v>
      </c>
      <c r="C13" s="228">
        <v>40</v>
      </c>
      <c r="D13" s="228">
        <v>32</v>
      </c>
      <c r="E13" s="228">
        <v>2</v>
      </c>
      <c r="F13" s="215">
        <f t="shared" si="0"/>
        <v>-2.6666666666666665</v>
      </c>
      <c r="G13" s="215">
        <f t="shared" si="1"/>
        <v>-2.5</v>
      </c>
      <c r="H13" s="215">
        <f t="shared" si="2"/>
        <v>-0.16666666666666652</v>
      </c>
    </row>
    <row r="14" spans="1:8">
      <c r="A14" s="220">
        <v>49</v>
      </c>
      <c r="B14" s="228">
        <v>1</v>
      </c>
      <c r="C14" s="228">
        <v>37</v>
      </c>
      <c r="D14" s="228">
        <v>34</v>
      </c>
      <c r="E14" s="228">
        <v>17</v>
      </c>
      <c r="F14" s="215">
        <f t="shared" si="0"/>
        <v>-1</v>
      </c>
      <c r="G14" s="215">
        <f t="shared" si="1"/>
        <v>-1.4166666666666667</v>
      </c>
      <c r="H14" s="215">
        <f t="shared" si="2"/>
        <v>0.41666666666666674</v>
      </c>
    </row>
    <row r="15" spans="1:8">
      <c r="A15" s="220">
        <v>42</v>
      </c>
      <c r="B15" s="228">
        <v>1</v>
      </c>
      <c r="C15" s="228">
        <v>38</v>
      </c>
      <c r="D15" s="228">
        <v>34</v>
      </c>
      <c r="E15" s="228">
        <v>19</v>
      </c>
      <c r="F15" s="215">
        <f t="shared" si="0"/>
        <v>-1.3333333333333333</v>
      </c>
      <c r="G15" s="215">
        <f t="shared" si="1"/>
        <v>-1.25</v>
      </c>
      <c r="H15" s="215">
        <f t="shared" si="2"/>
        <v>-8.3333333333333259E-2</v>
      </c>
    </row>
    <row r="16" spans="1:8">
      <c r="A16" s="220">
        <v>41</v>
      </c>
      <c r="B16" s="228">
        <v>1</v>
      </c>
      <c r="C16" s="228">
        <v>46</v>
      </c>
      <c r="D16" s="228">
        <v>42</v>
      </c>
      <c r="E16" s="228">
        <v>24</v>
      </c>
      <c r="F16" s="215">
        <f t="shared" si="0"/>
        <v>-1.3333333333333333</v>
      </c>
      <c r="G16" s="215">
        <f t="shared" si="1"/>
        <v>-1.5</v>
      </c>
      <c r="H16" s="215">
        <f t="shared" si="2"/>
        <v>0.16666666666666674</v>
      </c>
    </row>
    <row r="17" spans="1:8">
      <c r="A17" s="220">
        <v>75</v>
      </c>
      <c r="B17" s="228">
        <v>1</v>
      </c>
      <c r="C17" s="228">
        <v>41</v>
      </c>
      <c r="D17" s="228">
        <v>40</v>
      </c>
      <c r="E17" s="228">
        <v>25</v>
      </c>
      <c r="F17" s="215">
        <f t="shared" si="0"/>
        <v>-0.33333333333333331</v>
      </c>
      <c r="G17" s="215">
        <f t="shared" si="1"/>
        <v>-1.25</v>
      </c>
      <c r="H17" s="215">
        <f t="shared" si="2"/>
        <v>0.91666666666666674</v>
      </c>
    </row>
    <row r="18" spans="1:8">
      <c r="A18" s="220">
        <v>12</v>
      </c>
      <c r="B18" s="228">
        <v>1</v>
      </c>
      <c r="C18" s="228">
        <v>37</v>
      </c>
      <c r="D18" s="228">
        <v>32</v>
      </c>
      <c r="E18" s="228">
        <v>26</v>
      </c>
      <c r="F18" s="215">
        <f t="shared" si="0"/>
        <v>-1.6666666666666667</v>
      </c>
      <c r="G18" s="215">
        <f t="shared" si="1"/>
        <v>-0.5</v>
      </c>
      <c r="H18" s="215">
        <f t="shared" si="2"/>
        <v>-1.1666666666666667</v>
      </c>
    </row>
    <row r="19" spans="1:8">
      <c r="A19" s="220">
        <v>73</v>
      </c>
      <c r="B19" s="228">
        <v>1</v>
      </c>
      <c r="C19" s="228">
        <v>41</v>
      </c>
      <c r="D19" s="228">
        <v>27</v>
      </c>
      <c r="E19" s="228">
        <v>26</v>
      </c>
      <c r="F19" s="215">
        <f t="shared" si="0"/>
        <v>-4.666666666666667</v>
      </c>
      <c r="G19" s="215">
        <f t="shared" si="1"/>
        <v>-8.3333333333333329E-2</v>
      </c>
      <c r="H19" s="215">
        <f t="shared" si="2"/>
        <v>-4.5833333333333339</v>
      </c>
    </row>
    <row r="20" spans="1:8">
      <c r="A20" s="220">
        <v>81</v>
      </c>
      <c r="B20" s="228">
        <v>1</v>
      </c>
      <c r="C20" s="228">
        <v>40</v>
      </c>
      <c r="D20" s="228">
        <v>37</v>
      </c>
      <c r="E20" s="228">
        <v>27</v>
      </c>
      <c r="F20" s="215">
        <f t="shared" si="0"/>
        <v>-1</v>
      </c>
      <c r="G20" s="215">
        <f t="shared" si="1"/>
        <v>-0.83333333333333337</v>
      </c>
      <c r="H20" s="215">
        <f t="shared" si="2"/>
        <v>-0.16666666666666663</v>
      </c>
    </row>
    <row r="21" spans="1:8">
      <c r="A21" s="222">
        <v>6</v>
      </c>
      <c r="B21" s="228">
        <v>1</v>
      </c>
      <c r="C21" s="228">
        <v>38</v>
      </c>
      <c r="D21" s="228">
        <v>31</v>
      </c>
      <c r="E21" s="228">
        <v>29</v>
      </c>
      <c r="F21" s="215">
        <f t="shared" si="0"/>
        <v>-2.3333333333333335</v>
      </c>
      <c r="G21" s="215">
        <f t="shared" si="1"/>
        <v>-0.16666666666666666</v>
      </c>
      <c r="H21" s="215">
        <f t="shared" si="2"/>
        <v>-2.166666666666667</v>
      </c>
    </row>
    <row r="22" spans="1:8">
      <c r="A22" s="222">
        <v>9</v>
      </c>
      <c r="B22" s="228">
        <v>1</v>
      </c>
      <c r="C22" s="228">
        <v>38</v>
      </c>
      <c r="D22" s="228">
        <v>35</v>
      </c>
      <c r="E22" s="228">
        <v>31</v>
      </c>
      <c r="F22" s="215">
        <f t="shared" si="0"/>
        <v>-1</v>
      </c>
      <c r="G22" s="215">
        <f t="shared" si="1"/>
        <v>-0.33333333333333331</v>
      </c>
      <c r="H22" s="215">
        <f t="shared" si="2"/>
        <v>-0.66666666666666674</v>
      </c>
    </row>
    <row r="23" spans="1:8">
      <c r="A23" s="220">
        <v>47</v>
      </c>
      <c r="B23" s="228">
        <v>1</v>
      </c>
      <c r="C23" s="228">
        <v>40</v>
      </c>
      <c r="D23" s="228">
        <v>36</v>
      </c>
      <c r="E23" s="228">
        <v>31</v>
      </c>
      <c r="F23" s="215">
        <f t="shared" si="0"/>
        <v>-1.3333333333333333</v>
      </c>
      <c r="G23" s="215">
        <f t="shared" si="1"/>
        <v>-0.41666666666666669</v>
      </c>
      <c r="H23" s="215">
        <f t="shared" si="2"/>
        <v>-0.91666666666666652</v>
      </c>
    </row>
    <row r="24" spans="1:8">
      <c r="A24" s="220">
        <v>55</v>
      </c>
      <c r="B24" s="228">
        <v>1</v>
      </c>
      <c r="C24" s="228">
        <v>44</v>
      </c>
      <c r="D24" s="228">
        <v>41</v>
      </c>
      <c r="E24" s="228">
        <v>35</v>
      </c>
      <c r="F24" s="215">
        <f t="shared" si="0"/>
        <v>-1</v>
      </c>
      <c r="G24" s="215">
        <f t="shared" si="1"/>
        <v>-0.5</v>
      </c>
      <c r="H24" s="215">
        <f t="shared" si="2"/>
        <v>-0.5</v>
      </c>
    </row>
    <row r="25" spans="1:8">
      <c r="A25" s="222">
        <v>4</v>
      </c>
      <c r="B25" s="228">
        <v>1</v>
      </c>
      <c r="C25" s="228">
        <v>39</v>
      </c>
      <c r="D25" s="228">
        <v>36</v>
      </c>
      <c r="E25" s="228">
        <v>35</v>
      </c>
      <c r="F25" s="215">
        <f t="shared" si="0"/>
        <v>-1</v>
      </c>
      <c r="G25" s="215">
        <f t="shared" si="1"/>
        <v>-8.3333333333333329E-2</v>
      </c>
      <c r="H25" s="215">
        <f t="shared" si="2"/>
        <v>-0.91666666666666663</v>
      </c>
    </row>
    <row r="26" spans="1:8">
      <c r="A26" s="220">
        <v>63</v>
      </c>
      <c r="B26" s="228">
        <v>1</v>
      </c>
      <c r="C26" s="228">
        <v>43</v>
      </c>
      <c r="D26" s="228">
        <v>43</v>
      </c>
      <c r="E26" s="228">
        <v>39</v>
      </c>
      <c r="F26" s="215">
        <f t="shared" si="0"/>
        <v>0</v>
      </c>
      <c r="G26" s="215">
        <f t="shared" si="1"/>
        <v>-0.33333333333333331</v>
      </c>
      <c r="H26" s="215">
        <f t="shared" si="2"/>
        <v>0.33333333333333331</v>
      </c>
    </row>
    <row r="27" spans="1:8">
      <c r="A27" s="220">
        <v>68</v>
      </c>
      <c r="B27" s="228">
        <v>1</v>
      </c>
      <c r="C27" s="228">
        <v>43</v>
      </c>
      <c r="D27" s="228">
        <v>40</v>
      </c>
      <c r="E27" s="228">
        <v>39</v>
      </c>
      <c r="F27" s="215">
        <f t="shared" si="0"/>
        <v>-1</v>
      </c>
      <c r="G27" s="215">
        <f t="shared" si="1"/>
        <v>-8.3333333333333329E-2</v>
      </c>
      <c r="H27" s="215">
        <f t="shared" si="2"/>
        <v>-0.91666666666666663</v>
      </c>
    </row>
    <row r="28" spans="1:8" ht="12" customHeight="1">
      <c r="A28" s="223"/>
      <c r="B28" s="223"/>
      <c r="C28" s="223"/>
      <c r="D28" s="223"/>
      <c r="E28" s="223"/>
    </row>
    <row r="29" spans="1:8">
      <c r="A29" s="223"/>
      <c r="B29" s="223"/>
      <c r="C29" s="223"/>
      <c r="D29" s="223"/>
      <c r="E29" s="223"/>
    </row>
    <row r="30" spans="1:8">
      <c r="A30" s="223"/>
      <c r="B30" s="223"/>
      <c r="C30" s="223"/>
      <c r="D30" s="223"/>
      <c r="E30" s="223"/>
    </row>
    <row r="31" spans="1:8">
      <c r="A31" s="223"/>
      <c r="B31" s="223"/>
      <c r="C31" s="223"/>
      <c r="D31" s="223"/>
      <c r="E31" s="223"/>
    </row>
    <row r="32" spans="1:8">
      <c r="A32" s="223"/>
      <c r="B32" s="223"/>
      <c r="C32" s="223"/>
      <c r="D32" s="223"/>
      <c r="E32" s="223"/>
    </row>
    <row r="33" spans="1:5">
      <c r="A33" s="223"/>
      <c r="B33" s="223"/>
      <c r="C33" s="223"/>
      <c r="D33" s="223"/>
      <c r="E33" s="223"/>
    </row>
    <row r="34" spans="1:5">
      <c r="A34" s="223"/>
      <c r="B34" s="223"/>
      <c r="C34" s="223"/>
      <c r="D34" s="223"/>
      <c r="E34" s="223"/>
    </row>
    <row r="35" spans="1:5">
      <c r="A35" s="223"/>
      <c r="B35" s="223"/>
      <c r="C35" s="223"/>
      <c r="D35" s="223"/>
      <c r="E35" s="223"/>
    </row>
    <row r="36" spans="1:5">
      <c r="A36" s="223"/>
      <c r="B36" s="223"/>
      <c r="C36" s="223"/>
      <c r="D36" s="223"/>
      <c r="E36" s="223"/>
    </row>
    <row r="37" spans="1:5">
      <c r="A37" s="223"/>
      <c r="B37" s="223"/>
      <c r="C37" s="223"/>
      <c r="D37" s="223"/>
      <c r="E37" s="223"/>
    </row>
    <row r="38" spans="1:5">
      <c r="A38" s="223"/>
      <c r="B38" s="223"/>
      <c r="C38" s="223"/>
      <c r="D38" s="223"/>
      <c r="E38" s="223"/>
    </row>
    <row r="39" spans="1:5">
      <c r="A39" s="223"/>
      <c r="B39" s="223"/>
      <c r="C39" s="223"/>
      <c r="D39" s="223"/>
      <c r="E39" s="223"/>
    </row>
    <row r="40" spans="1:5">
      <c r="A40" s="223"/>
      <c r="B40" s="223"/>
      <c r="C40" s="223"/>
      <c r="D40" s="223"/>
      <c r="E40" s="223"/>
    </row>
    <row r="41" spans="1:5">
      <c r="A41" s="223"/>
      <c r="B41" s="223"/>
      <c r="C41" s="223"/>
      <c r="D41" s="223"/>
      <c r="E41" s="223"/>
    </row>
    <row r="42" spans="1:5">
      <c r="A42" s="223"/>
      <c r="B42" s="223"/>
      <c r="C42" s="223"/>
      <c r="D42" s="223"/>
      <c r="E42" s="223"/>
    </row>
    <row r="43" spans="1:5">
      <c r="A43" s="223"/>
      <c r="B43" s="223"/>
      <c r="C43" s="223"/>
      <c r="D43" s="223"/>
      <c r="E43" s="223"/>
    </row>
    <row r="44" spans="1:5">
      <c r="A44" s="223"/>
      <c r="B44" s="223"/>
      <c r="C44" s="223"/>
      <c r="D44" s="223"/>
      <c r="E44" s="223"/>
    </row>
    <row r="45" spans="1:5">
      <c r="A45" s="223"/>
      <c r="B45" s="223"/>
      <c r="C45" s="223"/>
      <c r="D45" s="223"/>
      <c r="E45" s="223"/>
    </row>
    <row r="46" spans="1:5">
      <c r="A46" s="223"/>
      <c r="B46" s="223"/>
      <c r="C46" s="223"/>
      <c r="D46" s="223"/>
      <c r="E46" s="223"/>
    </row>
    <row r="47" spans="1:5">
      <c r="A47" s="223"/>
      <c r="B47" s="223"/>
      <c r="C47" s="223"/>
      <c r="D47" s="223"/>
      <c r="E47" s="223"/>
    </row>
    <row r="48" spans="1:5">
      <c r="A48" s="223"/>
      <c r="B48" s="223"/>
      <c r="C48" s="223"/>
      <c r="D48" s="223"/>
      <c r="E48" s="223"/>
    </row>
    <row r="49" spans="1:5">
      <c r="A49" s="223"/>
      <c r="B49" s="223"/>
      <c r="C49" s="223"/>
      <c r="D49" s="223"/>
      <c r="E49" s="223"/>
    </row>
    <row r="50" spans="1:5">
      <c r="A50" s="223"/>
      <c r="B50" s="223"/>
      <c r="C50" s="223"/>
      <c r="D50" s="223"/>
      <c r="E50" s="223"/>
    </row>
    <row r="51" spans="1:5">
      <c r="A51" s="223"/>
      <c r="B51" s="223"/>
      <c r="C51" s="223"/>
      <c r="D51" s="223"/>
      <c r="E51" s="223"/>
    </row>
    <row r="52" spans="1:5">
      <c r="A52" s="223"/>
      <c r="B52" s="223"/>
      <c r="C52" s="223"/>
      <c r="D52" s="223"/>
      <c r="E52" s="223"/>
    </row>
    <row r="53" spans="1:5">
      <c r="A53" s="223"/>
      <c r="B53" s="223"/>
      <c r="C53" s="223"/>
      <c r="D53" s="223"/>
      <c r="E53" s="223"/>
    </row>
    <row r="54" spans="1:5">
      <c r="A54" s="223"/>
      <c r="B54" s="223"/>
      <c r="C54" s="223"/>
      <c r="D54" s="223"/>
      <c r="E54" s="223"/>
    </row>
    <row r="55" spans="1:5">
      <c r="A55" s="223"/>
      <c r="B55" s="223"/>
      <c r="C55" s="223"/>
      <c r="D55" s="223"/>
      <c r="E55" s="223"/>
    </row>
    <row r="56" spans="1:5">
      <c r="A56" s="223"/>
      <c r="B56" s="223"/>
      <c r="C56" s="223"/>
      <c r="D56" s="223"/>
      <c r="E56" s="223"/>
    </row>
    <row r="57" spans="1:5">
      <c r="A57" s="223"/>
      <c r="B57" s="223"/>
      <c r="C57" s="223"/>
      <c r="D57" s="223"/>
      <c r="E57" s="223"/>
    </row>
    <row r="58" spans="1:5">
      <c r="A58" s="223"/>
      <c r="B58" s="223"/>
      <c r="C58" s="223"/>
      <c r="D58" s="223"/>
      <c r="E58" s="223"/>
    </row>
    <row r="59" spans="1:5">
      <c r="A59" s="223"/>
      <c r="B59" s="223"/>
      <c r="C59" s="223"/>
      <c r="D59" s="223"/>
      <c r="E59" s="223"/>
    </row>
    <row r="60" spans="1:5">
      <c r="A60" s="223"/>
      <c r="B60" s="223"/>
      <c r="C60" s="223"/>
      <c r="D60" s="223"/>
      <c r="E60" s="223"/>
    </row>
    <row r="61" spans="1:5">
      <c r="A61" s="223"/>
      <c r="B61" s="223"/>
      <c r="C61" s="223"/>
      <c r="D61" s="223"/>
      <c r="E61" s="223"/>
    </row>
    <row r="62" spans="1:5">
      <c r="A62" s="223"/>
      <c r="B62" s="223"/>
      <c r="C62" s="223"/>
      <c r="D62" s="223"/>
      <c r="E62" s="223"/>
    </row>
    <row r="63" spans="1:5">
      <c r="A63" s="223"/>
      <c r="B63" s="223"/>
      <c r="C63" s="223"/>
      <c r="D63" s="223"/>
      <c r="E63" s="223"/>
    </row>
    <row r="64" spans="1:5">
      <c r="A64" s="223"/>
      <c r="B64" s="223"/>
      <c r="C64" s="223"/>
      <c r="D64" s="223"/>
      <c r="E64" s="223"/>
    </row>
    <row r="65" spans="1:5">
      <c r="A65" s="223"/>
      <c r="B65" s="223"/>
      <c r="C65" s="223"/>
      <c r="D65" s="223"/>
      <c r="E65" s="223"/>
    </row>
    <row r="66" spans="1:5">
      <c r="A66" s="223"/>
      <c r="B66" s="223"/>
      <c r="C66" s="223"/>
      <c r="D66" s="223"/>
      <c r="E66" s="223"/>
    </row>
    <row r="67" spans="1:5">
      <c r="A67" s="223"/>
      <c r="B67" s="223"/>
      <c r="C67" s="223"/>
      <c r="D67" s="223"/>
      <c r="E67" s="223"/>
    </row>
    <row r="68" spans="1:5">
      <c r="A68" s="223"/>
      <c r="B68" s="223"/>
      <c r="C68" s="223"/>
      <c r="D68" s="223"/>
      <c r="E68" s="223"/>
    </row>
    <row r="69" spans="1:5">
      <c r="A69" s="223"/>
      <c r="B69" s="223"/>
      <c r="C69" s="223"/>
      <c r="D69" s="223"/>
      <c r="E69" s="223"/>
    </row>
    <row r="70" spans="1:5">
      <c r="A70" s="223"/>
      <c r="B70" s="223"/>
      <c r="C70" s="223"/>
      <c r="D70" s="223"/>
      <c r="E70" s="223"/>
    </row>
    <row r="71" spans="1:5">
      <c r="A71" s="223"/>
      <c r="B71" s="223"/>
      <c r="C71" s="223"/>
      <c r="D71" s="223"/>
      <c r="E71" s="223"/>
    </row>
    <row r="72" spans="1:5">
      <c r="A72" s="223"/>
      <c r="B72" s="223"/>
      <c r="C72" s="223"/>
      <c r="D72" s="223"/>
      <c r="E72" s="223"/>
    </row>
    <row r="73" spans="1:5">
      <c r="A73" s="223"/>
      <c r="B73" s="223"/>
      <c r="C73" s="223"/>
      <c r="D73" s="223"/>
      <c r="E73" s="223"/>
    </row>
    <row r="74" spans="1:5">
      <c r="A74" s="223"/>
      <c r="B74" s="223"/>
      <c r="C74" s="223"/>
      <c r="D74" s="223"/>
      <c r="E74" s="223"/>
    </row>
    <row r="75" spans="1:5">
      <c r="A75" s="223"/>
      <c r="B75" s="223"/>
      <c r="C75" s="223"/>
      <c r="D75" s="223"/>
      <c r="E75" s="223"/>
    </row>
    <row r="76" spans="1:5">
      <c r="A76" s="223"/>
      <c r="B76" s="223"/>
      <c r="C76" s="223"/>
      <c r="D76" s="223"/>
      <c r="E76" s="223"/>
    </row>
    <row r="77" spans="1:5">
      <c r="A77" s="223"/>
      <c r="B77" s="223"/>
      <c r="C77" s="223"/>
      <c r="D77" s="223"/>
      <c r="E77" s="223"/>
    </row>
    <row r="78" spans="1:5">
      <c r="A78" s="223"/>
      <c r="B78" s="223"/>
      <c r="C78" s="223"/>
      <c r="D78" s="223"/>
      <c r="E78" s="223"/>
    </row>
    <row r="79" spans="1:5">
      <c r="A79" s="223"/>
      <c r="B79" s="223"/>
      <c r="C79" s="223"/>
      <c r="D79" s="223"/>
      <c r="E79" s="223"/>
    </row>
    <row r="80" spans="1:5">
      <c r="A80" s="223"/>
      <c r="B80" s="223"/>
      <c r="C80" s="223"/>
      <c r="D80" s="223"/>
      <c r="E80" s="223"/>
    </row>
    <row r="81" spans="1:5">
      <c r="A81" s="223"/>
      <c r="B81" s="223"/>
      <c r="C81" s="223"/>
      <c r="D81" s="223"/>
      <c r="E81" s="223"/>
    </row>
    <row r="82" spans="1:5">
      <c r="A82" s="223"/>
      <c r="B82" s="223"/>
      <c r="C82" s="223"/>
      <c r="D82" s="223"/>
      <c r="E82" s="223"/>
    </row>
    <row r="83" spans="1:5">
      <c r="A83" s="223"/>
      <c r="B83" s="223"/>
      <c r="C83" s="223"/>
      <c r="D83" s="223"/>
      <c r="E83" s="223"/>
    </row>
    <row r="84" spans="1:5">
      <c r="A84" s="223"/>
      <c r="B84" s="223"/>
      <c r="C84" s="223"/>
      <c r="D84" s="223"/>
      <c r="E84" s="223"/>
    </row>
    <row r="85" spans="1:5">
      <c r="A85" s="223"/>
      <c r="B85" s="223"/>
      <c r="C85" s="223"/>
      <c r="D85" s="223"/>
      <c r="E85" s="223"/>
    </row>
    <row r="86" spans="1:5">
      <c r="A86" s="223"/>
      <c r="B86" s="223"/>
      <c r="C86" s="223"/>
      <c r="D86" s="223"/>
      <c r="E86" s="223"/>
    </row>
  </sheetData>
  <autoFilter ref="A1:E27">
    <sortState ref="A2:E34">
      <sortCondition ref="B1:B34"/>
    </sortState>
  </autoFilter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1"/>
  <sheetViews>
    <sheetView workbookViewId="0">
      <selection activeCell="B1" sqref="B1"/>
    </sheetView>
  </sheetViews>
  <sheetFormatPr defaultRowHeight="16.5"/>
  <cols>
    <col min="4" max="7" width="10.125" style="242" customWidth="1"/>
  </cols>
  <sheetData>
    <row r="1" spans="1:21">
      <c r="A1" s="239" t="s">
        <v>0</v>
      </c>
      <c r="B1" s="2" t="s">
        <v>681</v>
      </c>
      <c r="C1" s="1" t="s">
        <v>682</v>
      </c>
      <c r="D1" s="4" t="s">
        <v>683</v>
      </c>
      <c r="E1" s="4" t="s">
        <v>684</v>
      </c>
      <c r="F1" s="4" t="s">
        <v>685</v>
      </c>
      <c r="G1" s="4" t="s">
        <v>686</v>
      </c>
      <c r="H1" s="240" t="s">
        <v>475</v>
      </c>
      <c r="I1" s="14" t="s">
        <v>266</v>
      </c>
      <c r="J1" s="240" t="s">
        <v>174</v>
      </c>
      <c r="K1" s="14" t="s">
        <v>175</v>
      </c>
      <c r="L1" s="240" t="s">
        <v>176</v>
      </c>
      <c r="M1" s="14" t="s">
        <v>177</v>
      </c>
      <c r="N1" s="240" t="s">
        <v>178</v>
      </c>
      <c r="O1" s="14" t="s">
        <v>179</v>
      </c>
      <c r="P1" s="240" t="s">
        <v>180</v>
      </c>
      <c r="Q1" s="14" t="s">
        <v>181</v>
      </c>
      <c r="R1" s="240" t="s">
        <v>182</v>
      </c>
      <c r="S1" s="14" t="s">
        <v>183</v>
      </c>
      <c r="T1" s="240" t="s">
        <v>184</v>
      </c>
      <c r="U1" s="14" t="s">
        <v>185</v>
      </c>
    </row>
    <row r="2" spans="1:21">
      <c r="A2" s="241">
        <v>1230</v>
      </c>
      <c r="B2" s="241" t="s">
        <v>33</v>
      </c>
      <c r="C2" s="241">
        <v>2</v>
      </c>
      <c r="D2" s="241">
        <v>42075</v>
      </c>
      <c r="E2" s="241">
        <v>42101</v>
      </c>
      <c r="F2" s="241"/>
      <c r="G2" s="241"/>
      <c r="H2" s="241">
        <v>41</v>
      </c>
      <c r="I2" s="241">
        <v>41806</v>
      </c>
      <c r="J2" s="241">
        <v>34</v>
      </c>
      <c r="K2" s="241">
        <v>42075</v>
      </c>
      <c r="L2" s="241">
        <v>28</v>
      </c>
      <c r="M2" s="241">
        <v>42191</v>
      </c>
      <c r="N2" s="241">
        <v>26</v>
      </c>
      <c r="O2" s="241">
        <v>42282</v>
      </c>
      <c r="P2" s="241">
        <v>22</v>
      </c>
      <c r="Q2" s="241">
        <v>42506</v>
      </c>
      <c r="R2" s="241">
        <v>4</v>
      </c>
      <c r="S2" s="241">
        <v>42801</v>
      </c>
      <c r="T2" s="241">
        <v>1</v>
      </c>
      <c r="U2" s="241">
        <v>43129</v>
      </c>
    </row>
    <row r="3" spans="1:21">
      <c r="A3" s="241">
        <v>1154</v>
      </c>
      <c r="B3" s="241" t="s">
        <v>82</v>
      </c>
      <c r="C3" s="241">
        <v>10</v>
      </c>
      <c r="D3" s="241">
        <v>42089</v>
      </c>
      <c r="E3" s="241">
        <v>42115</v>
      </c>
      <c r="F3" s="241">
        <v>42369</v>
      </c>
      <c r="G3" s="241">
        <v>42516</v>
      </c>
      <c r="H3" s="241">
        <v>38</v>
      </c>
      <c r="I3" s="241">
        <v>41689</v>
      </c>
      <c r="J3" s="241">
        <v>29</v>
      </c>
      <c r="K3" s="241">
        <v>42089</v>
      </c>
      <c r="L3" s="241">
        <v>25</v>
      </c>
      <c r="M3" s="241">
        <v>42198</v>
      </c>
      <c r="N3" s="241">
        <v>25</v>
      </c>
      <c r="O3" s="241">
        <v>42254</v>
      </c>
      <c r="P3" s="241">
        <v>21</v>
      </c>
      <c r="Q3" s="241">
        <v>42464</v>
      </c>
      <c r="R3" s="241">
        <v>18</v>
      </c>
      <c r="S3" s="241">
        <v>42779</v>
      </c>
      <c r="T3" s="241">
        <v>18</v>
      </c>
      <c r="U3" s="241">
        <v>43108</v>
      </c>
    </row>
    <row r="4" spans="1:21">
      <c r="A4" s="241">
        <v>986</v>
      </c>
      <c r="B4" s="241" t="s">
        <v>57</v>
      </c>
      <c r="C4" s="241">
        <v>2</v>
      </c>
      <c r="D4" s="241">
        <v>42096</v>
      </c>
      <c r="E4" s="241">
        <v>42122</v>
      </c>
      <c r="F4" s="241"/>
      <c r="G4" s="241"/>
      <c r="H4" s="241">
        <v>43</v>
      </c>
      <c r="I4" s="241">
        <v>41373</v>
      </c>
      <c r="J4" s="241">
        <v>30</v>
      </c>
      <c r="K4" s="241">
        <v>42096</v>
      </c>
      <c r="L4" s="241">
        <v>21</v>
      </c>
      <c r="M4" s="241">
        <v>42268</v>
      </c>
      <c r="N4" s="241">
        <v>6</v>
      </c>
      <c r="O4" s="241">
        <v>42502</v>
      </c>
      <c r="P4" s="241"/>
      <c r="Q4" s="241"/>
      <c r="R4" s="241"/>
      <c r="S4" s="241"/>
      <c r="T4" s="241"/>
      <c r="U4" s="241"/>
    </row>
    <row r="5" spans="1:21">
      <c r="A5" s="241">
        <v>1252</v>
      </c>
      <c r="B5" s="241" t="s">
        <v>30</v>
      </c>
      <c r="C5" s="241">
        <v>2</v>
      </c>
      <c r="D5" s="241">
        <v>42097</v>
      </c>
      <c r="E5" s="241">
        <v>42123</v>
      </c>
      <c r="F5" s="241"/>
      <c r="G5" s="241"/>
      <c r="H5" s="241">
        <v>41</v>
      </c>
      <c r="I5" s="241">
        <v>41837</v>
      </c>
      <c r="J5" s="241">
        <v>36</v>
      </c>
      <c r="K5" s="241">
        <v>42097</v>
      </c>
      <c r="L5" s="241">
        <v>33</v>
      </c>
      <c r="M5" s="241">
        <v>42191</v>
      </c>
      <c r="N5" s="241">
        <v>31</v>
      </c>
      <c r="O5" s="241">
        <v>42296</v>
      </c>
      <c r="P5" s="241">
        <v>26</v>
      </c>
      <c r="Q5" s="241">
        <v>42478</v>
      </c>
      <c r="R5" s="241">
        <v>22</v>
      </c>
      <c r="S5" s="241">
        <v>42779</v>
      </c>
      <c r="T5" s="241"/>
      <c r="U5" s="241"/>
    </row>
    <row r="6" spans="1:21">
      <c r="A6" s="241">
        <v>1361</v>
      </c>
      <c r="B6" s="241" t="s">
        <v>46</v>
      </c>
      <c r="C6" s="241">
        <v>2</v>
      </c>
      <c r="D6" s="241">
        <v>42110</v>
      </c>
      <c r="E6" s="241">
        <v>42136</v>
      </c>
      <c r="F6" s="241"/>
      <c r="G6" s="241"/>
      <c r="H6" s="241">
        <v>43</v>
      </c>
      <c r="I6" s="241">
        <v>41953</v>
      </c>
      <c r="J6" s="241">
        <v>37</v>
      </c>
      <c r="K6" s="241">
        <v>42110</v>
      </c>
      <c r="L6" s="241">
        <v>37</v>
      </c>
      <c r="M6" s="241">
        <v>42198</v>
      </c>
      <c r="N6" s="241">
        <v>16</v>
      </c>
      <c r="O6" s="241">
        <v>42289</v>
      </c>
      <c r="P6" s="241">
        <v>13</v>
      </c>
      <c r="Q6" s="241">
        <v>42489</v>
      </c>
      <c r="R6" s="241"/>
      <c r="S6" s="241"/>
      <c r="T6" s="241"/>
      <c r="U6" s="241"/>
    </row>
    <row r="7" spans="1:21">
      <c r="A7" s="241">
        <v>1265</v>
      </c>
      <c r="B7" s="241" t="s">
        <v>5</v>
      </c>
      <c r="C7" s="241">
        <v>4</v>
      </c>
      <c r="D7" s="241">
        <v>42111</v>
      </c>
      <c r="E7" s="241">
        <v>42137</v>
      </c>
      <c r="F7" s="241">
        <v>42454</v>
      </c>
      <c r="G7" s="241">
        <v>42480</v>
      </c>
      <c r="H7" s="241">
        <v>41</v>
      </c>
      <c r="I7" s="241">
        <v>41858</v>
      </c>
      <c r="J7" s="241">
        <v>34</v>
      </c>
      <c r="K7" s="241">
        <v>42111</v>
      </c>
      <c r="L7" s="241">
        <v>33</v>
      </c>
      <c r="M7" s="241">
        <v>42240</v>
      </c>
      <c r="N7" s="241">
        <v>33</v>
      </c>
      <c r="O7" s="241">
        <v>42359</v>
      </c>
      <c r="P7" s="241">
        <v>31</v>
      </c>
      <c r="Q7" s="241">
        <v>42478</v>
      </c>
      <c r="R7" s="241">
        <v>19</v>
      </c>
      <c r="S7" s="241">
        <v>42814</v>
      </c>
      <c r="T7" s="241">
        <v>9</v>
      </c>
      <c r="U7" s="241">
        <v>43145</v>
      </c>
    </row>
    <row r="8" spans="1:21">
      <c r="A8" s="241">
        <v>1186</v>
      </c>
      <c r="B8" s="241" t="s">
        <v>3</v>
      </c>
      <c r="C8" s="241">
        <v>4</v>
      </c>
      <c r="D8" s="241">
        <v>42117</v>
      </c>
      <c r="E8" s="241">
        <v>42143</v>
      </c>
      <c r="F8" s="241">
        <v>42489</v>
      </c>
      <c r="G8" s="241">
        <v>42515</v>
      </c>
      <c r="H8" s="241">
        <v>34</v>
      </c>
      <c r="I8" s="241">
        <v>41908</v>
      </c>
      <c r="J8" s="241">
        <v>26</v>
      </c>
      <c r="K8" s="241">
        <v>42117</v>
      </c>
      <c r="L8" s="241">
        <v>25</v>
      </c>
      <c r="M8" s="241">
        <v>42156</v>
      </c>
      <c r="N8" s="241">
        <v>25</v>
      </c>
      <c r="O8" s="241">
        <v>42488</v>
      </c>
      <c r="P8" s="241">
        <v>25</v>
      </c>
      <c r="Q8" s="241">
        <v>42583</v>
      </c>
      <c r="R8" s="241">
        <v>24</v>
      </c>
      <c r="S8" s="241">
        <v>42744</v>
      </c>
      <c r="T8" s="241">
        <v>23</v>
      </c>
      <c r="U8" s="241">
        <v>42811</v>
      </c>
    </row>
    <row r="9" spans="1:21">
      <c r="A9" s="241">
        <v>1134</v>
      </c>
      <c r="B9" s="241" t="s">
        <v>54</v>
      </c>
      <c r="C9" s="241">
        <v>2</v>
      </c>
      <c r="D9" s="241">
        <v>42132</v>
      </c>
      <c r="E9" s="241">
        <v>42158</v>
      </c>
      <c r="F9" s="241"/>
      <c r="G9" s="241"/>
      <c r="H9" s="241">
        <v>46</v>
      </c>
      <c r="I9" s="241">
        <v>41661</v>
      </c>
      <c r="J9" s="241">
        <v>37</v>
      </c>
      <c r="K9" s="241">
        <v>42132</v>
      </c>
      <c r="L9" s="241">
        <v>35</v>
      </c>
      <c r="M9" s="241">
        <v>42282</v>
      </c>
      <c r="N9" s="241">
        <v>27</v>
      </c>
      <c r="O9" s="241">
        <v>42562</v>
      </c>
      <c r="P9" s="241">
        <v>19</v>
      </c>
      <c r="Q9" s="241">
        <v>42821</v>
      </c>
      <c r="R9" s="241">
        <v>13</v>
      </c>
      <c r="S9" s="241">
        <v>43192</v>
      </c>
      <c r="T9" s="241"/>
      <c r="U9" s="241"/>
    </row>
    <row r="10" spans="1:21">
      <c r="A10" s="241">
        <v>1270</v>
      </c>
      <c r="B10" s="241" t="s">
        <v>7</v>
      </c>
      <c r="C10" s="241">
        <v>4</v>
      </c>
      <c r="D10" s="241">
        <v>42159</v>
      </c>
      <c r="E10" s="241">
        <v>42185</v>
      </c>
      <c r="F10" s="241">
        <v>42481</v>
      </c>
      <c r="G10" s="241">
        <v>42507</v>
      </c>
      <c r="H10" s="241">
        <v>43</v>
      </c>
      <c r="I10" s="241">
        <v>41858</v>
      </c>
      <c r="J10" s="241">
        <v>39</v>
      </c>
      <c r="K10" s="241">
        <v>42159</v>
      </c>
      <c r="L10" s="241">
        <v>38</v>
      </c>
      <c r="M10" s="241">
        <v>42296</v>
      </c>
      <c r="N10" s="241">
        <v>35</v>
      </c>
      <c r="O10" s="241">
        <v>42394</v>
      </c>
      <c r="P10" s="241">
        <v>33</v>
      </c>
      <c r="Q10" s="241">
        <v>42481</v>
      </c>
      <c r="R10" s="241">
        <v>31</v>
      </c>
      <c r="S10" s="241">
        <v>42534</v>
      </c>
      <c r="T10" s="241">
        <v>31</v>
      </c>
      <c r="U10" s="241">
        <v>42590</v>
      </c>
    </row>
    <row r="11" spans="1:21">
      <c r="A11" s="241">
        <v>1301</v>
      </c>
      <c r="B11" s="241" t="s">
        <v>42</v>
      </c>
      <c r="C11" s="241">
        <v>2</v>
      </c>
      <c r="D11" s="241">
        <v>42159</v>
      </c>
      <c r="E11" s="241">
        <v>42185</v>
      </c>
      <c r="F11" s="241"/>
      <c r="G11" s="241"/>
      <c r="H11" s="241">
        <v>45</v>
      </c>
      <c r="I11" s="241">
        <v>41887</v>
      </c>
      <c r="J11" s="241">
        <v>39</v>
      </c>
      <c r="K11" s="241">
        <v>42159</v>
      </c>
      <c r="L11" s="241">
        <v>32</v>
      </c>
      <c r="M11" s="241">
        <v>42296</v>
      </c>
      <c r="N11" s="241">
        <v>25</v>
      </c>
      <c r="O11" s="241">
        <v>42394</v>
      </c>
      <c r="P11" s="241">
        <v>20</v>
      </c>
      <c r="Q11" s="241">
        <v>42506</v>
      </c>
      <c r="R11" s="241">
        <v>13</v>
      </c>
      <c r="S11" s="241">
        <v>42885</v>
      </c>
      <c r="T11" s="241">
        <v>11</v>
      </c>
      <c r="U11" s="241">
        <v>43220</v>
      </c>
    </row>
    <row r="12" spans="1:21">
      <c r="A12" s="241">
        <v>1180</v>
      </c>
      <c r="B12" s="241" t="s">
        <v>20</v>
      </c>
      <c r="C12" s="241">
        <v>2</v>
      </c>
      <c r="D12" s="241">
        <v>42167</v>
      </c>
      <c r="E12" s="241">
        <v>42193</v>
      </c>
      <c r="F12" s="241"/>
      <c r="G12" s="241"/>
      <c r="H12" s="241">
        <v>40</v>
      </c>
      <c r="I12" s="241">
        <v>41932</v>
      </c>
      <c r="J12" s="241">
        <v>32</v>
      </c>
      <c r="K12" s="241">
        <v>42167</v>
      </c>
      <c r="L12" s="241">
        <v>32</v>
      </c>
      <c r="M12" s="241">
        <v>42296</v>
      </c>
      <c r="N12" s="241">
        <v>30</v>
      </c>
      <c r="O12" s="241">
        <v>42394</v>
      </c>
      <c r="P12" s="241">
        <v>29</v>
      </c>
      <c r="Q12" s="241">
        <v>42534</v>
      </c>
      <c r="R12" s="241">
        <v>22</v>
      </c>
      <c r="S12" s="241">
        <v>42849</v>
      </c>
      <c r="T12" s="241"/>
      <c r="U12" s="241"/>
    </row>
    <row r="13" spans="1:21">
      <c r="A13" s="241">
        <v>1438</v>
      </c>
      <c r="B13" s="241" t="s">
        <v>55</v>
      </c>
      <c r="C13" s="241">
        <v>2</v>
      </c>
      <c r="D13" s="241">
        <v>42173</v>
      </c>
      <c r="E13" s="241">
        <v>42199</v>
      </c>
      <c r="F13" s="241"/>
      <c r="G13" s="241"/>
      <c r="H13" s="241">
        <v>39</v>
      </c>
      <c r="I13" s="241">
        <v>42034</v>
      </c>
      <c r="J13" s="241">
        <v>33</v>
      </c>
      <c r="K13" s="241">
        <v>42173</v>
      </c>
      <c r="L13" s="241">
        <v>26</v>
      </c>
      <c r="M13" s="241">
        <v>42338</v>
      </c>
      <c r="N13" s="241">
        <v>25</v>
      </c>
      <c r="O13" s="241">
        <v>42580</v>
      </c>
      <c r="P13" s="241">
        <v>20</v>
      </c>
      <c r="Q13" s="241">
        <v>42898</v>
      </c>
      <c r="R13" s="241">
        <v>17</v>
      </c>
      <c r="S13" s="241">
        <v>43192</v>
      </c>
      <c r="T13" s="241"/>
      <c r="U13" s="241"/>
    </row>
    <row r="14" spans="1:21">
      <c r="A14" s="241">
        <v>1055</v>
      </c>
      <c r="B14" s="241" t="s">
        <v>21</v>
      </c>
      <c r="C14" s="241">
        <v>2</v>
      </c>
      <c r="D14" s="241">
        <v>42174</v>
      </c>
      <c r="E14" s="241">
        <v>42200</v>
      </c>
      <c r="F14" s="241"/>
      <c r="G14" s="241"/>
      <c r="H14" s="241">
        <v>45</v>
      </c>
      <c r="I14" s="241">
        <v>41541</v>
      </c>
      <c r="J14" s="241">
        <v>35</v>
      </c>
      <c r="K14" s="241">
        <v>42174</v>
      </c>
      <c r="L14" s="241">
        <v>36</v>
      </c>
      <c r="M14" s="241">
        <v>42282</v>
      </c>
      <c r="N14" s="241">
        <v>36</v>
      </c>
      <c r="O14" s="241">
        <v>42380</v>
      </c>
      <c r="P14" s="241">
        <v>36</v>
      </c>
      <c r="Q14" s="241">
        <v>42541</v>
      </c>
      <c r="R14" s="241"/>
      <c r="S14" s="241"/>
      <c r="T14" s="241"/>
      <c r="U14" s="241"/>
    </row>
    <row r="15" spans="1:21">
      <c r="A15" s="241">
        <v>1306</v>
      </c>
      <c r="B15" s="241" t="s">
        <v>41</v>
      </c>
      <c r="C15" s="241">
        <v>2</v>
      </c>
      <c r="D15" s="241">
        <v>42188</v>
      </c>
      <c r="E15" s="241">
        <v>42214</v>
      </c>
      <c r="F15" s="241"/>
      <c r="G15" s="241"/>
      <c r="H15" s="241">
        <v>45</v>
      </c>
      <c r="I15" s="241">
        <v>41904</v>
      </c>
      <c r="J15" s="241">
        <v>43</v>
      </c>
      <c r="K15" s="241">
        <v>42188</v>
      </c>
      <c r="L15" s="241">
        <v>41</v>
      </c>
      <c r="M15" s="241">
        <v>42240</v>
      </c>
      <c r="N15" s="241">
        <v>36</v>
      </c>
      <c r="O15" s="241">
        <v>42366</v>
      </c>
      <c r="P15" s="241">
        <v>32</v>
      </c>
      <c r="Q15" s="241">
        <v>42552</v>
      </c>
      <c r="R15" s="241">
        <v>33</v>
      </c>
      <c r="S15" s="241">
        <v>42881</v>
      </c>
      <c r="T15" s="241">
        <v>10</v>
      </c>
      <c r="U15" s="241">
        <v>43248</v>
      </c>
    </row>
    <row r="16" spans="1:21">
      <c r="A16" s="241">
        <v>973</v>
      </c>
      <c r="B16" s="241" t="s">
        <v>24</v>
      </c>
      <c r="C16" s="241">
        <v>2</v>
      </c>
      <c r="D16" s="241">
        <v>42194</v>
      </c>
      <c r="E16" s="241">
        <v>42220</v>
      </c>
      <c r="F16" s="241"/>
      <c r="G16" s="241"/>
      <c r="H16" s="241">
        <v>46</v>
      </c>
      <c r="I16" s="241">
        <v>41359</v>
      </c>
      <c r="J16" s="241">
        <v>40</v>
      </c>
      <c r="K16" s="241">
        <v>42194</v>
      </c>
      <c r="L16" s="241">
        <v>40</v>
      </c>
      <c r="M16" s="241">
        <v>42394</v>
      </c>
      <c r="N16" s="241">
        <v>40</v>
      </c>
      <c r="O16" s="241">
        <v>42569</v>
      </c>
      <c r="P16" s="241">
        <v>39</v>
      </c>
      <c r="Q16" s="241">
        <v>43255</v>
      </c>
      <c r="R16" s="241"/>
      <c r="S16" s="241"/>
      <c r="T16" s="241"/>
      <c r="U16" s="241"/>
    </row>
    <row r="17" spans="1:21">
      <c r="A17" s="241">
        <v>1240</v>
      </c>
      <c r="B17" s="241" t="s">
        <v>56</v>
      </c>
      <c r="C17" s="241">
        <v>2</v>
      </c>
      <c r="D17" s="241">
        <v>42215</v>
      </c>
      <c r="E17" s="241">
        <v>42241</v>
      </c>
      <c r="F17" s="241"/>
      <c r="G17" s="241"/>
      <c r="H17" s="241">
        <v>42</v>
      </c>
      <c r="I17" s="241">
        <v>41816</v>
      </c>
      <c r="J17" s="241">
        <v>38</v>
      </c>
      <c r="K17" s="241">
        <v>42215</v>
      </c>
      <c r="L17" s="241">
        <v>38</v>
      </c>
      <c r="M17" s="241">
        <v>42366</v>
      </c>
      <c r="N17" s="241">
        <v>27</v>
      </c>
      <c r="O17" s="241">
        <v>42632</v>
      </c>
      <c r="P17" s="241"/>
      <c r="Q17" s="241"/>
      <c r="R17" s="241"/>
      <c r="S17" s="241"/>
      <c r="T17" s="241"/>
      <c r="U17" s="241"/>
    </row>
    <row r="18" spans="1:21">
      <c r="A18" s="241">
        <v>1440</v>
      </c>
      <c r="B18" s="241" t="s">
        <v>79</v>
      </c>
      <c r="C18" s="241">
        <v>2</v>
      </c>
      <c r="D18" s="241">
        <v>42216</v>
      </c>
      <c r="E18" s="241">
        <v>42269</v>
      </c>
      <c r="F18" s="241"/>
      <c r="G18" s="241"/>
      <c r="H18" s="241">
        <v>43</v>
      </c>
      <c r="I18" s="241">
        <v>42034</v>
      </c>
      <c r="J18" s="241">
        <v>36</v>
      </c>
      <c r="K18" s="241">
        <v>42216</v>
      </c>
      <c r="L18" s="241">
        <v>36</v>
      </c>
      <c r="M18" s="241">
        <v>42389</v>
      </c>
      <c r="N18" s="241">
        <v>36</v>
      </c>
      <c r="O18" s="241">
        <v>42457</v>
      </c>
      <c r="P18" s="241">
        <v>32</v>
      </c>
      <c r="Q18" s="241">
        <v>42583</v>
      </c>
      <c r="R18" s="241"/>
      <c r="S18" s="241"/>
      <c r="T18" s="241"/>
      <c r="U18" s="241"/>
    </row>
    <row r="19" spans="1:21">
      <c r="A19" s="241">
        <v>1464</v>
      </c>
      <c r="B19" s="241" t="s">
        <v>22</v>
      </c>
      <c r="C19" s="241">
        <v>2</v>
      </c>
      <c r="D19" s="241">
        <v>42222</v>
      </c>
      <c r="E19" s="241">
        <v>42248</v>
      </c>
      <c r="F19" s="241"/>
      <c r="G19" s="241"/>
      <c r="H19" s="241">
        <v>39</v>
      </c>
      <c r="I19" s="241">
        <v>42062</v>
      </c>
      <c r="J19" s="241">
        <v>30</v>
      </c>
      <c r="K19" s="241">
        <v>42222</v>
      </c>
      <c r="L19" s="241">
        <v>25</v>
      </c>
      <c r="M19" s="241">
        <v>42317</v>
      </c>
      <c r="N19" s="241">
        <v>21</v>
      </c>
      <c r="O19" s="241">
        <v>42443</v>
      </c>
      <c r="P19" s="241">
        <v>14</v>
      </c>
      <c r="Q19" s="241">
        <v>42639</v>
      </c>
      <c r="R19" s="241">
        <v>1</v>
      </c>
      <c r="S19" s="241">
        <v>43283</v>
      </c>
      <c r="T19" s="241"/>
      <c r="U19" s="241"/>
    </row>
    <row r="20" spans="1:21">
      <c r="A20" s="241">
        <v>1557</v>
      </c>
      <c r="B20" s="241" t="s">
        <v>75</v>
      </c>
      <c r="C20" s="241">
        <v>2</v>
      </c>
      <c r="D20" s="241">
        <v>42223</v>
      </c>
      <c r="E20" s="241">
        <v>42249</v>
      </c>
      <c r="F20" s="241"/>
      <c r="G20" s="241"/>
      <c r="H20" s="241">
        <v>32</v>
      </c>
      <c r="I20" s="241">
        <v>42194</v>
      </c>
      <c r="J20" s="241">
        <v>29</v>
      </c>
      <c r="K20" s="241">
        <v>42223</v>
      </c>
      <c r="L20" s="241"/>
      <c r="M20" s="241"/>
      <c r="N20" s="241"/>
      <c r="O20" s="241"/>
      <c r="P20" s="241"/>
      <c r="Q20" s="241"/>
      <c r="R20" s="241"/>
      <c r="S20" s="241"/>
      <c r="T20" s="241"/>
      <c r="U20" s="241"/>
    </row>
    <row r="21" spans="1:21">
      <c r="A21" s="241">
        <v>1478</v>
      </c>
      <c r="B21" s="241" t="s">
        <v>45</v>
      </c>
      <c r="C21" s="241">
        <v>2</v>
      </c>
      <c r="D21" s="241">
        <v>42236</v>
      </c>
      <c r="E21" s="241">
        <v>42262</v>
      </c>
      <c r="F21" s="241"/>
      <c r="G21" s="241"/>
      <c r="H21" s="241">
        <v>45</v>
      </c>
      <c r="I21" s="241">
        <v>42090</v>
      </c>
      <c r="J21" s="241">
        <v>45</v>
      </c>
      <c r="K21" s="241">
        <v>42236</v>
      </c>
      <c r="L21" s="241">
        <v>45</v>
      </c>
      <c r="M21" s="241">
        <v>42292</v>
      </c>
      <c r="N21" s="241">
        <v>35</v>
      </c>
      <c r="O21" s="241">
        <v>42429</v>
      </c>
      <c r="P21" s="241">
        <v>34</v>
      </c>
      <c r="Q21" s="241">
        <v>42496</v>
      </c>
      <c r="R21" s="241">
        <v>14</v>
      </c>
      <c r="S21" s="241">
        <v>42891</v>
      </c>
      <c r="T21" s="241"/>
      <c r="U21" s="241"/>
    </row>
    <row r="22" spans="1:21">
      <c r="A22" s="241">
        <v>1504</v>
      </c>
      <c r="B22" s="241" t="s">
        <v>35</v>
      </c>
      <c r="C22" s="241">
        <v>2</v>
      </c>
      <c r="D22" s="241">
        <v>42237</v>
      </c>
      <c r="E22" s="241">
        <v>42263</v>
      </c>
      <c r="F22" s="241"/>
      <c r="G22" s="241"/>
      <c r="H22" s="241">
        <v>45</v>
      </c>
      <c r="I22" s="241">
        <v>42111</v>
      </c>
      <c r="J22" s="241">
        <v>40</v>
      </c>
      <c r="K22" s="241">
        <v>42237</v>
      </c>
      <c r="L22" s="241">
        <v>34</v>
      </c>
      <c r="M22" s="241">
        <v>42373</v>
      </c>
      <c r="N22" s="241">
        <v>30</v>
      </c>
      <c r="O22" s="241">
        <v>42429</v>
      </c>
      <c r="P22" s="241">
        <v>24</v>
      </c>
      <c r="Q22" s="241">
        <v>42576</v>
      </c>
      <c r="R22" s="241">
        <v>9</v>
      </c>
      <c r="S22" s="241">
        <v>42913</v>
      </c>
      <c r="T22" s="241">
        <v>1</v>
      </c>
      <c r="U22" s="241">
        <v>43297</v>
      </c>
    </row>
    <row r="23" spans="1:21">
      <c r="A23" s="241">
        <v>1441</v>
      </c>
      <c r="B23" s="241" t="s">
        <v>28</v>
      </c>
      <c r="C23" s="241">
        <v>2</v>
      </c>
      <c r="D23" s="241">
        <v>42244</v>
      </c>
      <c r="E23" s="241">
        <v>42270</v>
      </c>
      <c r="F23" s="241"/>
      <c r="G23" s="241"/>
      <c r="H23" s="241">
        <v>42</v>
      </c>
      <c r="I23" s="241">
        <v>42034</v>
      </c>
      <c r="J23" s="241">
        <v>39</v>
      </c>
      <c r="K23" s="241">
        <v>42244</v>
      </c>
      <c r="L23" s="241">
        <v>38</v>
      </c>
      <c r="M23" s="241">
        <v>42359</v>
      </c>
      <c r="N23" s="241">
        <v>36</v>
      </c>
      <c r="O23" s="241">
        <v>42415</v>
      </c>
      <c r="P23" s="241">
        <v>32</v>
      </c>
      <c r="Q23" s="241">
        <v>42590</v>
      </c>
      <c r="R23" s="241">
        <v>32</v>
      </c>
      <c r="S23" s="241">
        <v>42947</v>
      </c>
      <c r="T23" s="241">
        <v>20</v>
      </c>
      <c r="U23" s="241">
        <v>43287</v>
      </c>
    </row>
    <row r="24" spans="1:21">
      <c r="A24" s="241">
        <v>1511</v>
      </c>
      <c r="B24" s="241" t="s">
        <v>34</v>
      </c>
      <c r="C24" s="241">
        <v>2</v>
      </c>
      <c r="D24" s="241">
        <v>42271</v>
      </c>
      <c r="E24" s="241">
        <v>42297</v>
      </c>
      <c r="F24" s="241"/>
      <c r="G24" s="241"/>
      <c r="H24" s="241">
        <v>38</v>
      </c>
      <c r="I24" s="241">
        <v>42129</v>
      </c>
      <c r="J24" s="241">
        <v>36</v>
      </c>
      <c r="K24" s="241">
        <v>42271</v>
      </c>
      <c r="L24" s="241">
        <v>32</v>
      </c>
      <c r="M24" s="241">
        <v>42359</v>
      </c>
      <c r="N24" s="241">
        <v>32</v>
      </c>
      <c r="O24" s="241">
        <v>42429</v>
      </c>
      <c r="P24" s="241">
        <v>31</v>
      </c>
      <c r="Q24" s="241">
        <v>42653</v>
      </c>
      <c r="R24" s="241">
        <v>23</v>
      </c>
      <c r="S24" s="241">
        <v>42954</v>
      </c>
      <c r="T24" s="241">
        <v>21</v>
      </c>
      <c r="U24" s="241">
        <v>43283</v>
      </c>
    </row>
    <row r="25" spans="1:21">
      <c r="A25" s="241">
        <v>1153</v>
      </c>
      <c r="B25" s="241" t="s">
        <v>23</v>
      </c>
      <c r="C25" s="241">
        <v>2</v>
      </c>
      <c r="D25" s="241">
        <v>42272</v>
      </c>
      <c r="E25" s="241">
        <v>42298</v>
      </c>
      <c r="F25" s="241"/>
      <c r="G25" s="241"/>
      <c r="H25" s="241">
        <v>39</v>
      </c>
      <c r="I25" s="241">
        <v>41682</v>
      </c>
      <c r="J25" s="241">
        <v>30</v>
      </c>
      <c r="K25" s="241">
        <v>42272</v>
      </c>
      <c r="L25" s="241">
        <v>30</v>
      </c>
      <c r="M25" s="241">
        <v>42359</v>
      </c>
      <c r="N25" s="241">
        <v>29</v>
      </c>
      <c r="O25" s="241">
        <v>42457</v>
      </c>
      <c r="P25" s="241">
        <v>28</v>
      </c>
      <c r="Q25" s="241">
        <v>42636</v>
      </c>
      <c r="R25" s="241">
        <v>28</v>
      </c>
      <c r="S25" s="241">
        <v>42972</v>
      </c>
      <c r="T25" s="241"/>
      <c r="U25" s="241"/>
    </row>
    <row r="26" spans="1:21">
      <c r="A26" s="241">
        <v>1517</v>
      </c>
      <c r="B26" s="241" t="s">
        <v>39</v>
      </c>
      <c r="C26" s="241">
        <v>2</v>
      </c>
      <c r="D26" s="241">
        <v>42300</v>
      </c>
      <c r="E26" s="241">
        <v>42326</v>
      </c>
      <c r="F26" s="241"/>
      <c r="G26" s="241"/>
      <c r="H26" s="241">
        <v>46</v>
      </c>
      <c r="I26" s="241">
        <v>42135</v>
      </c>
      <c r="J26" s="241">
        <v>42</v>
      </c>
      <c r="K26" s="241">
        <v>42300</v>
      </c>
      <c r="L26" s="241">
        <v>33</v>
      </c>
      <c r="M26" s="241">
        <v>42485</v>
      </c>
      <c r="N26" s="241">
        <v>22</v>
      </c>
      <c r="O26" s="241">
        <v>42660</v>
      </c>
      <c r="P26" s="241"/>
      <c r="Q26" s="241"/>
      <c r="R26" s="241"/>
      <c r="S26" s="241"/>
      <c r="T26" s="241"/>
      <c r="U26" s="241"/>
    </row>
    <row r="27" spans="1:21">
      <c r="A27" s="241">
        <v>1356</v>
      </c>
      <c r="B27" s="241" t="s">
        <v>44</v>
      </c>
      <c r="C27" s="241">
        <v>2</v>
      </c>
      <c r="D27" s="241">
        <v>42313</v>
      </c>
      <c r="E27" s="241">
        <v>42339</v>
      </c>
      <c r="F27" s="241"/>
      <c r="G27" s="241"/>
      <c r="H27" s="241">
        <v>44</v>
      </c>
      <c r="I27" s="241">
        <v>41949</v>
      </c>
      <c r="J27" s="241">
        <v>41</v>
      </c>
      <c r="K27" s="241">
        <v>42313</v>
      </c>
      <c r="L27" s="241">
        <v>35</v>
      </c>
      <c r="M27" s="241">
        <v>42450</v>
      </c>
      <c r="N27" s="241">
        <v>32</v>
      </c>
      <c r="O27" s="241">
        <v>42478</v>
      </c>
      <c r="P27" s="241">
        <v>10</v>
      </c>
      <c r="Q27" s="241">
        <v>42695</v>
      </c>
      <c r="R27" s="241">
        <v>9</v>
      </c>
      <c r="S27" s="241">
        <v>42947</v>
      </c>
      <c r="T27" s="241">
        <v>9</v>
      </c>
      <c r="U27" s="241">
        <v>43195</v>
      </c>
    </row>
    <row r="28" spans="1:21">
      <c r="A28" s="241">
        <v>1544</v>
      </c>
      <c r="B28" s="241" t="s">
        <v>29</v>
      </c>
      <c r="C28" s="241">
        <v>2</v>
      </c>
      <c r="D28" s="241">
        <v>42334</v>
      </c>
      <c r="E28" s="241">
        <v>42360</v>
      </c>
      <c r="F28" s="241"/>
      <c r="G28" s="241"/>
      <c r="H28" s="241">
        <v>45</v>
      </c>
      <c r="I28" s="241">
        <v>42177</v>
      </c>
      <c r="J28" s="241">
        <v>45</v>
      </c>
      <c r="K28" s="241">
        <v>42334</v>
      </c>
      <c r="L28" s="241">
        <v>44</v>
      </c>
      <c r="M28" s="241">
        <v>42438</v>
      </c>
      <c r="N28" s="241">
        <v>44</v>
      </c>
      <c r="O28" s="241">
        <v>42711</v>
      </c>
      <c r="P28" s="241">
        <v>19</v>
      </c>
      <c r="Q28" s="241">
        <v>43474</v>
      </c>
      <c r="R28" s="241"/>
      <c r="S28" s="241"/>
      <c r="T28" s="241"/>
      <c r="U28" s="241"/>
    </row>
    <row r="29" spans="1:21">
      <c r="A29" s="241">
        <v>1552</v>
      </c>
      <c r="B29" s="241" t="s">
        <v>40</v>
      </c>
      <c r="C29" s="241">
        <v>2</v>
      </c>
      <c r="D29" s="241">
        <v>42342</v>
      </c>
      <c r="E29" s="241">
        <v>42368</v>
      </c>
      <c r="F29" s="241"/>
      <c r="G29" s="241"/>
      <c r="H29" s="241">
        <v>42</v>
      </c>
      <c r="I29" s="241">
        <v>42187</v>
      </c>
      <c r="J29" s="241">
        <v>38</v>
      </c>
      <c r="K29" s="241">
        <v>42342</v>
      </c>
      <c r="L29" s="241">
        <v>30</v>
      </c>
      <c r="M29" s="241">
        <v>42457</v>
      </c>
      <c r="N29" s="241">
        <v>28</v>
      </c>
      <c r="O29" s="241">
        <v>42513</v>
      </c>
      <c r="P29" s="241">
        <v>23</v>
      </c>
      <c r="Q29" s="241">
        <v>42730</v>
      </c>
      <c r="R29" s="241">
        <v>18</v>
      </c>
      <c r="S29" s="241">
        <v>43087</v>
      </c>
      <c r="T29" s="241"/>
      <c r="U29" s="241"/>
    </row>
    <row r="30" spans="1:21">
      <c r="A30" s="241">
        <v>1533</v>
      </c>
      <c r="B30" s="241" t="s">
        <v>38</v>
      </c>
      <c r="C30" s="241">
        <v>2</v>
      </c>
      <c r="D30" s="241">
        <v>42440</v>
      </c>
      <c r="E30" s="241">
        <v>42466</v>
      </c>
      <c r="F30" s="241"/>
      <c r="G30" s="241"/>
      <c r="H30" s="241">
        <v>47</v>
      </c>
      <c r="I30" s="241">
        <v>42167</v>
      </c>
      <c r="J30" s="241">
        <v>42</v>
      </c>
      <c r="K30" s="241">
        <v>42440</v>
      </c>
      <c r="L30" s="241">
        <v>39</v>
      </c>
      <c r="M30" s="241">
        <v>42548</v>
      </c>
      <c r="N30" s="241">
        <v>34</v>
      </c>
      <c r="O30" s="241">
        <v>42611</v>
      </c>
      <c r="P30" s="241">
        <v>28</v>
      </c>
      <c r="Q30" s="241">
        <v>42786</v>
      </c>
      <c r="R30" s="241">
        <v>23</v>
      </c>
      <c r="S30" s="241">
        <v>43133</v>
      </c>
      <c r="T30" s="241">
        <v>21</v>
      </c>
      <c r="U30" s="241">
        <v>43416</v>
      </c>
    </row>
    <row r="31" spans="1:21">
      <c r="A31" s="241">
        <v>1640</v>
      </c>
      <c r="B31" s="241" t="s">
        <v>51</v>
      </c>
      <c r="C31" s="241">
        <v>2</v>
      </c>
      <c r="D31" s="241">
        <v>42440</v>
      </c>
      <c r="E31" s="241">
        <v>42466</v>
      </c>
      <c r="F31" s="241"/>
      <c r="G31" s="241"/>
      <c r="H31" s="241">
        <v>45</v>
      </c>
      <c r="I31" s="241">
        <v>42293</v>
      </c>
      <c r="J31" s="241">
        <v>41</v>
      </c>
      <c r="K31" s="241">
        <v>42440</v>
      </c>
      <c r="L31" s="241">
        <v>39</v>
      </c>
      <c r="M31" s="241">
        <v>42569</v>
      </c>
      <c r="N31" s="241"/>
      <c r="O31" s="241"/>
      <c r="P31" s="241">
        <v>24</v>
      </c>
      <c r="Q31" s="241">
        <v>42821</v>
      </c>
      <c r="R31" s="241"/>
      <c r="S31" s="241"/>
      <c r="T31" s="241"/>
      <c r="U31" s="241"/>
    </row>
    <row r="32" spans="1:21">
      <c r="A32" s="241">
        <v>1748</v>
      </c>
      <c r="B32" s="241" t="s">
        <v>14</v>
      </c>
      <c r="C32" s="241">
        <v>3</v>
      </c>
      <c r="D32" s="241">
        <v>42488</v>
      </c>
      <c r="E32" s="241">
        <v>42514</v>
      </c>
      <c r="F32" s="241">
        <v>42760</v>
      </c>
      <c r="G32" s="241"/>
      <c r="H32" s="241">
        <v>37</v>
      </c>
      <c r="I32" s="241">
        <v>42459</v>
      </c>
      <c r="J32" s="241">
        <v>36</v>
      </c>
      <c r="K32" s="241">
        <v>42488</v>
      </c>
      <c r="L32" s="241">
        <v>36</v>
      </c>
      <c r="M32" s="241">
        <v>42604</v>
      </c>
      <c r="N32" s="241">
        <v>34</v>
      </c>
      <c r="O32" s="241">
        <v>42733</v>
      </c>
      <c r="P32" s="241"/>
      <c r="Q32" s="241"/>
      <c r="R32" s="241"/>
      <c r="S32" s="241"/>
      <c r="T32" s="241"/>
      <c r="U32" s="241"/>
    </row>
    <row r="33" spans="1:21">
      <c r="A33" s="241">
        <v>1701</v>
      </c>
      <c r="B33" s="241" t="s">
        <v>4</v>
      </c>
      <c r="C33" s="241">
        <v>4</v>
      </c>
      <c r="D33" s="241">
        <v>42524</v>
      </c>
      <c r="E33" s="241">
        <v>42550</v>
      </c>
      <c r="F33" s="241">
        <v>42874</v>
      </c>
      <c r="G33" s="241">
        <v>42900</v>
      </c>
      <c r="H33" s="241">
        <v>46</v>
      </c>
      <c r="I33" s="241">
        <v>42384</v>
      </c>
      <c r="J33" s="241">
        <v>41</v>
      </c>
      <c r="K33" s="241">
        <v>42524</v>
      </c>
      <c r="L33" s="241">
        <v>40</v>
      </c>
      <c r="M33" s="241">
        <v>42639</v>
      </c>
      <c r="N33" s="241">
        <v>40</v>
      </c>
      <c r="O33" s="241">
        <v>42695</v>
      </c>
      <c r="P33" s="241">
        <v>40</v>
      </c>
      <c r="Q33" s="241">
        <v>42769</v>
      </c>
      <c r="R33" s="241">
        <v>40</v>
      </c>
      <c r="S33" s="241">
        <v>42867</v>
      </c>
      <c r="T33" s="241">
        <v>39</v>
      </c>
      <c r="U33" s="241">
        <v>42936</v>
      </c>
    </row>
    <row r="34" spans="1:21">
      <c r="A34" s="241">
        <v>1788</v>
      </c>
      <c r="B34" s="241" t="s">
        <v>74</v>
      </c>
      <c r="C34" s="241">
        <v>2</v>
      </c>
      <c r="D34" s="241">
        <v>42608</v>
      </c>
      <c r="E34" s="241">
        <v>42634</v>
      </c>
      <c r="F34" s="241"/>
      <c r="G34" s="241"/>
      <c r="H34" s="241">
        <v>34</v>
      </c>
      <c r="I34" s="241">
        <v>42523</v>
      </c>
      <c r="J34" s="241">
        <v>34</v>
      </c>
      <c r="K34" s="241">
        <v>42608</v>
      </c>
      <c r="L34" s="241"/>
      <c r="M34" s="241"/>
      <c r="N34" s="241"/>
      <c r="O34" s="241"/>
      <c r="P34" s="241"/>
      <c r="Q34" s="241"/>
      <c r="R34" s="241"/>
      <c r="S34" s="241"/>
      <c r="T34" s="241"/>
      <c r="U34" s="241"/>
    </row>
    <row r="35" spans="1:21">
      <c r="A35" s="241">
        <v>1698</v>
      </c>
      <c r="B35" s="241" t="s">
        <v>26</v>
      </c>
      <c r="C35" s="241">
        <v>2</v>
      </c>
      <c r="D35" s="241">
        <v>42663</v>
      </c>
      <c r="E35" s="241">
        <v>42689</v>
      </c>
      <c r="F35" s="241"/>
      <c r="G35" s="241"/>
      <c r="H35" s="241">
        <v>42</v>
      </c>
      <c r="I35" s="241">
        <v>42380</v>
      </c>
      <c r="J35" s="241">
        <v>39</v>
      </c>
      <c r="K35" s="241">
        <v>42663</v>
      </c>
      <c r="L35" s="241">
        <v>37</v>
      </c>
      <c r="M35" s="241">
        <v>42779</v>
      </c>
      <c r="N35" s="241">
        <v>37</v>
      </c>
      <c r="O35" s="241">
        <v>42842</v>
      </c>
      <c r="P35" s="241">
        <v>30</v>
      </c>
      <c r="Q35" s="241">
        <v>43063</v>
      </c>
      <c r="R35" s="241">
        <v>25</v>
      </c>
      <c r="S35" s="241">
        <v>43385</v>
      </c>
      <c r="T35" s="241">
        <v>23</v>
      </c>
      <c r="U35" s="241">
        <v>43700</v>
      </c>
    </row>
    <row r="36" spans="1:21">
      <c r="A36" s="241">
        <v>1750</v>
      </c>
      <c r="B36" s="241" t="s">
        <v>32</v>
      </c>
      <c r="C36" s="241">
        <v>2</v>
      </c>
      <c r="D36" s="241">
        <v>42692</v>
      </c>
      <c r="E36" s="241">
        <v>42718</v>
      </c>
      <c r="F36" s="241"/>
      <c r="G36" s="241"/>
      <c r="H36" s="241">
        <v>44</v>
      </c>
      <c r="I36" s="241">
        <v>42454</v>
      </c>
      <c r="J36" s="241">
        <v>35</v>
      </c>
      <c r="K36" s="241">
        <v>42689</v>
      </c>
      <c r="L36" s="241">
        <v>29</v>
      </c>
      <c r="M36" s="241">
        <v>42828</v>
      </c>
      <c r="N36" s="241">
        <v>27</v>
      </c>
      <c r="O36" s="241">
        <v>42863</v>
      </c>
      <c r="P36" s="241">
        <v>14</v>
      </c>
      <c r="Q36" s="241">
        <v>42989</v>
      </c>
      <c r="R36" s="241">
        <v>5</v>
      </c>
      <c r="S36" s="241">
        <v>43395</v>
      </c>
      <c r="T36" s="241">
        <v>4</v>
      </c>
      <c r="U36" s="241">
        <v>43752</v>
      </c>
    </row>
    <row r="37" spans="1:21">
      <c r="A37" s="241">
        <v>1867</v>
      </c>
      <c r="B37" s="241" t="s">
        <v>50</v>
      </c>
      <c r="C37" s="241">
        <v>2</v>
      </c>
      <c r="D37" s="241">
        <v>42699</v>
      </c>
      <c r="E37" s="241">
        <v>42725</v>
      </c>
      <c r="F37" s="241"/>
      <c r="G37" s="241"/>
      <c r="H37" s="241">
        <v>41</v>
      </c>
      <c r="I37" s="241">
        <v>42663</v>
      </c>
      <c r="J37" s="241">
        <v>35</v>
      </c>
      <c r="K37" s="241">
        <v>42699</v>
      </c>
      <c r="L37" s="241">
        <v>32</v>
      </c>
      <c r="M37" s="241">
        <v>42720</v>
      </c>
      <c r="N37" s="241"/>
      <c r="O37" s="241"/>
      <c r="P37" s="241"/>
      <c r="Q37" s="241"/>
      <c r="R37" s="241"/>
      <c r="S37" s="241"/>
      <c r="T37" s="241"/>
      <c r="U37" s="241"/>
    </row>
    <row r="38" spans="1:21">
      <c r="A38" s="241">
        <v>1800</v>
      </c>
      <c r="B38" s="241" t="s">
        <v>36</v>
      </c>
      <c r="C38" s="241">
        <v>2</v>
      </c>
      <c r="D38" s="241">
        <v>42747</v>
      </c>
      <c r="E38" s="241">
        <v>42773</v>
      </c>
      <c r="F38" s="241"/>
      <c r="G38" s="241"/>
      <c r="H38" s="241">
        <v>46</v>
      </c>
      <c r="I38" s="241">
        <v>42552</v>
      </c>
      <c r="J38" s="241">
        <v>41</v>
      </c>
      <c r="K38" s="241">
        <v>42747</v>
      </c>
      <c r="L38" s="241">
        <v>37</v>
      </c>
      <c r="M38" s="241">
        <v>42863</v>
      </c>
      <c r="N38" s="241">
        <v>33</v>
      </c>
      <c r="O38" s="241">
        <v>42933</v>
      </c>
      <c r="P38" s="241">
        <v>5</v>
      </c>
      <c r="Q38" s="241">
        <v>43360</v>
      </c>
      <c r="R38" s="241">
        <v>3</v>
      </c>
      <c r="S38" s="241">
        <v>43451</v>
      </c>
      <c r="T38" s="241"/>
      <c r="U38" s="241"/>
    </row>
    <row r="39" spans="1:21">
      <c r="A39" s="241">
        <v>1870</v>
      </c>
      <c r="B39" s="241" t="s">
        <v>43</v>
      </c>
      <c r="C39" s="241">
        <v>2</v>
      </c>
      <c r="D39" s="241">
        <v>42754</v>
      </c>
      <c r="E39" s="241">
        <v>42780</v>
      </c>
      <c r="F39" s="241"/>
      <c r="G39" s="241"/>
      <c r="H39" s="241">
        <v>43</v>
      </c>
      <c r="I39" s="241">
        <v>42677</v>
      </c>
      <c r="J39" s="241">
        <v>43</v>
      </c>
      <c r="K39" s="241">
        <v>42754</v>
      </c>
      <c r="L39" s="241">
        <v>41</v>
      </c>
      <c r="M39" s="241">
        <v>42870</v>
      </c>
      <c r="N39" s="241">
        <v>35</v>
      </c>
      <c r="O39" s="241">
        <v>42926</v>
      </c>
      <c r="P39" s="241">
        <v>24</v>
      </c>
      <c r="Q39" s="241">
        <v>43143</v>
      </c>
      <c r="R39" s="241">
        <v>13</v>
      </c>
      <c r="S39" s="241">
        <v>43530</v>
      </c>
      <c r="T39" s="241"/>
      <c r="U39" s="241"/>
    </row>
    <row r="40" spans="1:21">
      <c r="A40" s="241">
        <v>1918</v>
      </c>
      <c r="B40" s="241" t="s">
        <v>73</v>
      </c>
      <c r="C40" s="241">
        <v>2</v>
      </c>
      <c r="D40" s="241">
        <v>42782</v>
      </c>
      <c r="E40" s="241">
        <v>42808</v>
      </c>
      <c r="F40" s="241"/>
      <c r="G40" s="241"/>
      <c r="H40" s="241">
        <v>42</v>
      </c>
      <c r="I40" s="241">
        <v>42752</v>
      </c>
      <c r="J40" s="241">
        <v>41</v>
      </c>
      <c r="K40" s="241">
        <v>42782</v>
      </c>
      <c r="L40" s="241"/>
      <c r="M40" s="241"/>
      <c r="N40" s="241"/>
      <c r="O40" s="241"/>
      <c r="P40" s="241"/>
      <c r="Q40" s="241"/>
      <c r="R40" s="241"/>
      <c r="S40" s="241"/>
      <c r="T40" s="241"/>
      <c r="U40" s="241"/>
    </row>
    <row r="41" spans="1:21">
      <c r="A41" s="241">
        <v>1874</v>
      </c>
      <c r="B41" s="241" t="s">
        <v>37</v>
      </c>
      <c r="C41" s="241">
        <v>2</v>
      </c>
      <c r="D41" s="241">
        <v>42811</v>
      </c>
      <c r="E41" s="241">
        <v>42837</v>
      </c>
      <c r="F41" s="241"/>
      <c r="G41" s="241"/>
      <c r="H41" s="241">
        <v>47</v>
      </c>
      <c r="I41" s="241">
        <v>42685</v>
      </c>
      <c r="J41" s="241">
        <v>47</v>
      </c>
      <c r="K41" s="241">
        <v>42811</v>
      </c>
      <c r="L41" s="241">
        <v>47</v>
      </c>
      <c r="M41" s="241">
        <v>42926</v>
      </c>
      <c r="N41" s="241">
        <v>43</v>
      </c>
      <c r="O41" s="241">
        <v>42982</v>
      </c>
      <c r="P41" s="241">
        <v>39</v>
      </c>
      <c r="Q41" s="241">
        <v>43157</v>
      </c>
      <c r="R41" s="241">
        <v>19</v>
      </c>
      <c r="S41" s="241">
        <v>43815</v>
      </c>
      <c r="T41" s="241"/>
      <c r="U41" s="241"/>
    </row>
    <row r="42" spans="1:21">
      <c r="A42" s="241">
        <v>1664</v>
      </c>
      <c r="B42" s="241" t="s">
        <v>31</v>
      </c>
      <c r="C42" s="241">
        <v>2</v>
      </c>
      <c r="D42" s="241">
        <v>42818</v>
      </c>
      <c r="E42" s="241">
        <v>42844</v>
      </c>
      <c r="F42" s="241"/>
      <c r="G42" s="241"/>
      <c r="H42" s="241">
        <v>45</v>
      </c>
      <c r="I42" s="241">
        <v>42317</v>
      </c>
      <c r="J42" s="241">
        <v>37</v>
      </c>
      <c r="K42" s="241">
        <v>42818</v>
      </c>
      <c r="L42" s="241">
        <v>36</v>
      </c>
      <c r="M42" s="241">
        <v>42912</v>
      </c>
      <c r="N42" s="241">
        <v>33</v>
      </c>
      <c r="O42" s="241">
        <v>43007</v>
      </c>
      <c r="P42" s="241">
        <v>26</v>
      </c>
      <c r="Q42" s="241">
        <v>43208</v>
      </c>
      <c r="R42" s="241">
        <v>25</v>
      </c>
      <c r="S42" s="241">
        <v>43542</v>
      </c>
      <c r="T42" s="241">
        <v>22</v>
      </c>
      <c r="U42" s="241">
        <v>43878</v>
      </c>
    </row>
    <row r="43" spans="1:21">
      <c r="A43" s="241">
        <v>1769</v>
      </c>
      <c r="B43" s="241" t="s">
        <v>25</v>
      </c>
      <c r="C43" s="241">
        <v>2</v>
      </c>
      <c r="D43" s="241">
        <v>42957</v>
      </c>
      <c r="E43" s="241">
        <v>42983</v>
      </c>
      <c r="F43" s="241"/>
      <c r="G43" s="241"/>
      <c r="H43" s="241">
        <v>39</v>
      </c>
      <c r="I43" s="241">
        <v>42482</v>
      </c>
      <c r="J43" s="241">
        <v>34</v>
      </c>
      <c r="K43" s="241">
        <v>42957</v>
      </c>
      <c r="L43" s="241">
        <v>33</v>
      </c>
      <c r="M43" s="241">
        <v>43021</v>
      </c>
      <c r="N43" s="241">
        <v>33</v>
      </c>
      <c r="O43" s="241">
        <v>43104</v>
      </c>
      <c r="P43" s="241">
        <v>29</v>
      </c>
      <c r="Q43" s="241">
        <v>43283</v>
      </c>
      <c r="R43" s="241"/>
      <c r="S43" s="241"/>
      <c r="T43" s="241"/>
      <c r="U43" s="241"/>
    </row>
    <row r="44" spans="1:21">
      <c r="A44" s="241">
        <v>2039</v>
      </c>
      <c r="B44" s="241" t="s">
        <v>8</v>
      </c>
      <c r="C44" s="241">
        <v>4</v>
      </c>
      <c r="D44" s="241">
        <v>42972</v>
      </c>
      <c r="E44" s="241">
        <v>42998</v>
      </c>
      <c r="F44" s="241">
        <v>43224</v>
      </c>
      <c r="G44" s="241">
        <v>43250</v>
      </c>
      <c r="H44" s="241">
        <v>35</v>
      </c>
      <c r="I44" s="241">
        <v>42940</v>
      </c>
      <c r="J44" s="241">
        <v>36</v>
      </c>
      <c r="K44" s="241">
        <v>42972</v>
      </c>
      <c r="L44" s="241">
        <v>34</v>
      </c>
      <c r="M44" s="241">
        <v>43157</v>
      </c>
      <c r="N44" s="241">
        <v>27</v>
      </c>
      <c r="O44" s="241">
        <v>43224</v>
      </c>
      <c r="P44" s="241">
        <v>27</v>
      </c>
      <c r="Q44" s="241">
        <v>43249</v>
      </c>
      <c r="R44" s="241">
        <v>21</v>
      </c>
      <c r="S44" s="241">
        <v>43357</v>
      </c>
      <c r="T44" s="241"/>
      <c r="U44" s="241"/>
    </row>
    <row r="45" spans="1:21">
      <c r="A45" s="241">
        <v>2063</v>
      </c>
      <c r="B45" s="241" t="s">
        <v>72</v>
      </c>
      <c r="C45" s="241">
        <v>2</v>
      </c>
      <c r="D45" s="241">
        <v>43007</v>
      </c>
      <c r="E45" s="241">
        <v>43033</v>
      </c>
      <c r="F45" s="241"/>
      <c r="G45" s="241"/>
      <c r="H45" s="241">
        <v>28</v>
      </c>
      <c r="I45" s="241">
        <v>42978</v>
      </c>
      <c r="J45" s="241">
        <v>26</v>
      </c>
      <c r="K45" s="241">
        <v>43007</v>
      </c>
      <c r="L45" s="241"/>
      <c r="M45" s="241"/>
      <c r="N45" s="241"/>
      <c r="O45" s="241"/>
      <c r="P45" s="241"/>
      <c r="Q45" s="241"/>
      <c r="R45" s="241"/>
      <c r="S45" s="241"/>
      <c r="T45" s="241"/>
      <c r="U45" s="241"/>
    </row>
    <row r="46" spans="1:21">
      <c r="A46" s="241">
        <v>1984</v>
      </c>
      <c r="B46" s="241" t="s">
        <v>2</v>
      </c>
      <c r="C46" s="241">
        <v>4</v>
      </c>
      <c r="D46" s="241">
        <v>43027</v>
      </c>
      <c r="E46" s="241">
        <v>43053</v>
      </c>
      <c r="F46" s="241">
        <v>43518</v>
      </c>
      <c r="G46" s="241">
        <v>43544</v>
      </c>
      <c r="H46" s="241">
        <v>45</v>
      </c>
      <c r="I46" s="241">
        <v>42874</v>
      </c>
      <c r="J46" s="241">
        <v>43</v>
      </c>
      <c r="K46" s="241">
        <v>43027</v>
      </c>
      <c r="L46" s="241">
        <v>37</v>
      </c>
      <c r="M46" s="241">
        <v>43115</v>
      </c>
      <c r="N46" s="241">
        <v>30</v>
      </c>
      <c r="O46" s="241">
        <v>43339</v>
      </c>
      <c r="P46" s="241">
        <v>26</v>
      </c>
      <c r="Q46" s="241">
        <v>43455</v>
      </c>
      <c r="R46" s="241">
        <v>23</v>
      </c>
      <c r="S46" s="241">
        <v>43745</v>
      </c>
      <c r="T46" s="241">
        <v>22</v>
      </c>
      <c r="U46" s="241">
        <v>43745</v>
      </c>
    </row>
    <row r="47" spans="1:21">
      <c r="A47" s="241">
        <v>2081</v>
      </c>
      <c r="B47" s="241" t="s">
        <v>1</v>
      </c>
      <c r="C47" s="241">
        <v>6</v>
      </c>
      <c r="D47" s="241">
        <v>43035</v>
      </c>
      <c r="E47" s="241">
        <v>43061</v>
      </c>
      <c r="F47" s="241">
        <v>43517</v>
      </c>
      <c r="G47" s="241">
        <v>43543</v>
      </c>
      <c r="H47" s="241">
        <v>32</v>
      </c>
      <c r="I47" s="241">
        <v>43006</v>
      </c>
      <c r="J47" s="241">
        <v>31</v>
      </c>
      <c r="K47" s="241">
        <v>43035</v>
      </c>
      <c r="L47" s="241">
        <v>31</v>
      </c>
      <c r="M47" s="241">
        <v>43061</v>
      </c>
      <c r="N47" s="241">
        <v>24</v>
      </c>
      <c r="O47" s="241">
        <v>43221</v>
      </c>
      <c r="P47" s="241">
        <v>24</v>
      </c>
      <c r="Q47" s="241">
        <v>43517</v>
      </c>
      <c r="R47" s="241">
        <v>24</v>
      </c>
      <c r="S47" s="241">
        <v>43543</v>
      </c>
      <c r="T47" s="241">
        <v>21</v>
      </c>
      <c r="U47" s="241">
        <v>43781</v>
      </c>
    </row>
    <row r="48" spans="1:21">
      <c r="A48" s="241">
        <v>2082</v>
      </c>
      <c r="B48" s="241" t="s">
        <v>70</v>
      </c>
      <c r="C48" s="241">
        <v>2</v>
      </c>
      <c r="D48" s="241">
        <v>43035</v>
      </c>
      <c r="E48" s="241">
        <v>43061</v>
      </c>
      <c r="F48" s="241"/>
      <c r="G48" s="241"/>
      <c r="H48" s="241">
        <v>15</v>
      </c>
      <c r="I48" s="241">
        <v>43006</v>
      </c>
      <c r="J48" s="241">
        <v>14</v>
      </c>
      <c r="K48" s="241">
        <v>43032</v>
      </c>
      <c r="L48" s="241"/>
      <c r="M48" s="241"/>
      <c r="N48" s="241"/>
      <c r="O48" s="241"/>
      <c r="P48" s="241"/>
      <c r="Q48" s="241"/>
      <c r="R48" s="241"/>
      <c r="S48" s="241"/>
      <c r="T48" s="241"/>
      <c r="U48" s="241"/>
    </row>
    <row r="49" spans="1:21">
      <c r="A49" s="241">
        <v>2089</v>
      </c>
      <c r="B49" s="241" t="s">
        <v>71</v>
      </c>
      <c r="C49" s="241">
        <v>2</v>
      </c>
      <c r="D49" s="241">
        <v>43047</v>
      </c>
      <c r="E49" s="241">
        <v>43073</v>
      </c>
      <c r="F49" s="241"/>
      <c r="G49" s="241"/>
      <c r="H49" s="241">
        <v>43</v>
      </c>
      <c r="I49" s="241">
        <v>43019</v>
      </c>
      <c r="J49" s="241">
        <v>38</v>
      </c>
      <c r="K49" s="241">
        <v>43047</v>
      </c>
      <c r="L49" s="241"/>
      <c r="M49" s="241"/>
      <c r="N49" s="241"/>
      <c r="O49" s="241"/>
      <c r="P49" s="241"/>
      <c r="Q49" s="241"/>
      <c r="R49" s="241"/>
      <c r="S49" s="241"/>
      <c r="T49" s="241"/>
      <c r="U49" s="241"/>
    </row>
    <row r="50" spans="1:21">
      <c r="A50" s="241">
        <v>2102</v>
      </c>
      <c r="B50" s="241" t="s">
        <v>6</v>
      </c>
      <c r="C50" s="241">
        <v>4</v>
      </c>
      <c r="D50" s="241">
        <v>43062</v>
      </c>
      <c r="E50" s="241">
        <v>43088</v>
      </c>
      <c r="F50" s="241">
        <v>43406</v>
      </c>
      <c r="G50" s="241">
        <v>43432</v>
      </c>
      <c r="H50" s="241">
        <v>33</v>
      </c>
      <c r="I50" s="241">
        <v>43034</v>
      </c>
      <c r="J50" s="241">
        <v>33</v>
      </c>
      <c r="K50" s="241">
        <v>43062</v>
      </c>
      <c r="L50" s="241">
        <v>30</v>
      </c>
      <c r="M50" s="241">
        <v>43318</v>
      </c>
      <c r="N50" s="241">
        <v>27</v>
      </c>
      <c r="O50" s="241">
        <v>43378</v>
      </c>
      <c r="P50" s="241">
        <v>27</v>
      </c>
      <c r="Q50" s="241">
        <v>43432</v>
      </c>
      <c r="R50" s="241"/>
      <c r="S50" s="241"/>
      <c r="T50" s="241"/>
      <c r="U50" s="241"/>
    </row>
    <row r="51" spans="1:21">
      <c r="A51" s="241">
        <v>2130</v>
      </c>
      <c r="B51" s="241" t="s">
        <v>69</v>
      </c>
      <c r="C51" s="241">
        <v>2</v>
      </c>
      <c r="D51" s="241">
        <v>43091</v>
      </c>
      <c r="E51" s="241">
        <v>43117</v>
      </c>
      <c r="F51" s="241"/>
      <c r="G51" s="241"/>
      <c r="H51" s="241">
        <v>29</v>
      </c>
      <c r="I51" s="241">
        <v>43063</v>
      </c>
      <c r="J51" s="241">
        <v>26</v>
      </c>
      <c r="K51" s="241">
        <v>43091</v>
      </c>
      <c r="L51" s="241"/>
      <c r="M51" s="241"/>
      <c r="N51" s="241"/>
      <c r="O51" s="241"/>
      <c r="P51" s="241"/>
      <c r="Q51" s="241"/>
      <c r="R51" s="241"/>
      <c r="S51" s="241"/>
      <c r="T51" s="241"/>
      <c r="U51" s="241"/>
    </row>
    <row r="52" spans="1:21">
      <c r="A52" s="241">
        <v>2180</v>
      </c>
      <c r="B52" s="241" t="s">
        <v>67</v>
      </c>
      <c r="C52" s="241">
        <v>2</v>
      </c>
      <c r="D52" s="241">
        <v>43168</v>
      </c>
      <c r="E52" s="241">
        <v>43194</v>
      </c>
      <c r="F52" s="241"/>
      <c r="G52" s="241"/>
      <c r="H52" s="241">
        <v>29</v>
      </c>
      <c r="I52" s="241">
        <v>43139</v>
      </c>
      <c r="J52" s="241">
        <v>30</v>
      </c>
      <c r="K52" s="241">
        <v>43168</v>
      </c>
      <c r="L52" s="241"/>
      <c r="M52" s="241"/>
      <c r="N52" s="241"/>
      <c r="O52" s="241"/>
      <c r="P52" s="241"/>
      <c r="Q52" s="241"/>
      <c r="R52" s="241"/>
      <c r="S52" s="241"/>
      <c r="T52" s="241"/>
      <c r="U52" s="241"/>
    </row>
    <row r="53" spans="1:21">
      <c r="A53" s="241">
        <v>2167</v>
      </c>
      <c r="B53" s="241" t="s">
        <v>68</v>
      </c>
      <c r="C53" s="241">
        <v>2</v>
      </c>
      <c r="D53" s="241">
        <v>43154</v>
      </c>
      <c r="E53" s="241">
        <v>43180</v>
      </c>
      <c r="F53" s="241"/>
      <c r="G53" s="241"/>
      <c r="H53" s="241">
        <v>33</v>
      </c>
      <c r="I53" s="241">
        <v>43125</v>
      </c>
      <c r="J53" s="241">
        <v>32</v>
      </c>
      <c r="K53" s="241">
        <v>43153</v>
      </c>
      <c r="L53" s="241"/>
      <c r="M53" s="241"/>
      <c r="N53" s="241"/>
      <c r="O53" s="241"/>
      <c r="P53" s="241"/>
      <c r="Q53" s="241"/>
      <c r="R53" s="241"/>
      <c r="S53" s="241"/>
      <c r="T53" s="241"/>
      <c r="U53" s="241"/>
    </row>
    <row r="54" spans="1:21">
      <c r="A54" s="241">
        <v>2190</v>
      </c>
      <c r="B54" s="241" t="s">
        <v>66</v>
      </c>
      <c r="C54" s="241">
        <v>2</v>
      </c>
      <c r="D54" s="241">
        <v>43189</v>
      </c>
      <c r="E54" s="241">
        <v>43215</v>
      </c>
      <c r="F54" s="241"/>
      <c r="G54" s="241"/>
      <c r="H54" s="241">
        <v>38</v>
      </c>
      <c r="I54" s="241">
        <v>43161</v>
      </c>
      <c r="J54" s="241">
        <v>37</v>
      </c>
      <c r="K54" s="241">
        <v>43189</v>
      </c>
      <c r="L54" s="241"/>
      <c r="M54" s="241"/>
      <c r="N54" s="241"/>
      <c r="O54" s="241"/>
      <c r="P54" s="241"/>
      <c r="Q54" s="241"/>
      <c r="R54" s="241"/>
      <c r="S54" s="241"/>
      <c r="T54" s="241"/>
      <c r="U54" s="241"/>
    </row>
    <row r="55" spans="1:21">
      <c r="A55" s="241">
        <v>2223</v>
      </c>
      <c r="B55" s="241" t="s">
        <v>65</v>
      </c>
      <c r="C55" s="241">
        <v>2</v>
      </c>
      <c r="D55" s="241">
        <v>43224</v>
      </c>
      <c r="E55" s="241">
        <v>43250</v>
      </c>
      <c r="F55" s="241"/>
      <c r="G55" s="241"/>
      <c r="H55" s="241">
        <v>35</v>
      </c>
      <c r="I55" s="241">
        <v>43194</v>
      </c>
      <c r="J55" s="241">
        <v>33</v>
      </c>
      <c r="K55" s="241">
        <v>43224</v>
      </c>
      <c r="L55" s="241"/>
      <c r="M55" s="241"/>
      <c r="N55" s="241"/>
      <c r="O55" s="241"/>
      <c r="P55" s="241"/>
      <c r="Q55" s="241"/>
      <c r="R55" s="241"/>
      <c r="S55" s="241"/>
      <c r="T55" s="241"/>
      <c r="U55" s="241"/>
    </row>
    <row r="56" spans="1:21">
      <c r="A56" s="241">
        <v>2131</v>
      </c>
      <c r="B56" s="241" t="s">
        <v>9</v>
      </c>
      <c r="C56" s="241">
        <v>6</v>
      </c>
      <c r="D56" s="241">
        <v>43097</v>
      </c>
      <c r="E56" s="241">
        <v>43123</v>
      </c>
      <c r="F56" s="241">
        <v>43300</v>
      </c>
      <c r="G56" s="241">
        <v>43326</v>
      </c>
      <c r="H56" s="241">
        <v>35</v>
      </c>
      <c r="I56" s="241">
        <v>43068</v>
      </c>
      <c r="J56" s="241">
        <v>32</v>
      </c>
      <c r="K56" s="241">
        <v>43097</v>
      </c>
      <c r="L56" s="241">
        <v>29</v>
      </c>
      <c r="M56" s="241">
        <v>43258</v>
      </c>
      <c r="N56" s="241">
        <v>24</v>
      </c>
      <c r="O56" s="241">
        <v>43297</v>
      </c>
      <c r="P56" s="241">
        <v>22</v>
      </c>
      <c r="Q56" s="241">
        <v>43469</v>
      </c>
      <c r="R56" s="241"/>
      <c r="S56" s="241"/>
      <c r="T56" s="241"/>
      <c r="U56" s="241"/>
    </row>
    <row r="57" spans="1:21">
      <c r="A57" s="241">
        <v>2272</v>
      </c>
      <c r="B57" s="241" t="s">
        <v>11</v>
      </c>
      <c r="C57" s="241">
        <v>4</v>
      </c>
      <c r="D57" s="241">
        <v>43300</v>
      </c>
      <c r="E57" s="241">
        <v>43326</v>
      </c>
      <c r="F57" s="241">
        <v>43454</v>
      </c>
      <c r="G57" s="241">
        <v>43480</v>
      </c>
      <c r="H57" s="241">
        <v>46</v>
      </c>
      <c r="I57" s="241">
        <v>43272</v>
      </c>
      <c r="J57" s="241">
        <v>46</v>
      </c>
      <c r="K57" s="241">
        <v>43300</v>
      </c>
      <c r="L57" s="241">
        <v>46</v>
      </c>
      <c r="M57" s="241">
        <v>43426</v>
      </c>
      <c r="N57" s="241">
        <v>45</v>
      </c>
      <c r="O57" s="241">
        <v>43454</v>
      </c>
      <c r="P57" s="241">
        <v>45</v>
      </c>
      <c r="Q57" s="241">
        <v>43480</v>
      </c>
      <c r="R57" s="241"/>
      <c r="S57" s="241"/>
      <c r="T57" s="241"/>
      <c r="U57" s="241"/>
    </row>
    <row r="58" spans="1:21">
      <c r="A58" s="241">
        <v>2288</v>
      </c>
      <c r="B58" s="241" t="s">
        <v>58</v>
      </c>
      <c r="C58" s="241">
        <v>2</v>
      </c>
      <c r="D58" s="241">
        <v>43322</v>
      </c>
      <c r="E58" s="241">
        <v>43348</v>
      </c>
      <c r="F58" s="241"/>
      <c r="G58" s="241"/>
      <c r="H58" s="241">
        <v>43</v>
      </c>
      <c r="I58" s="241">
        <v>43294</v>
      </c>
      <c r="J58" s="241">
        <v>43</v>
      </c>
      <c r="K58" s="241">
        <v>43320</v>
      </c>
      <c r="L58" s="241">
        <v>39</v>
      </c>
      <c r="M58" s="241">
        <v>43689</v>
      </c>
      <c r="N58" s="241"/>
      <c r="O58" s="241"/>
      <c r="P58" s="241"/>
      <c r="Q58" s="241"/>
      <c r="R58" s="241"/>
      <c r="S58" s="241"/>
      <c r="T58" s="241"/>
      <c r="U58" s="241"/>
    </row>
    <row r="59" spans="1:21">
      <c r="A59" s="241">
        <v>2334</v>
      </c>
      <c r="B59" s="241" t="s">
        <v>81</v>
      </c>
      <c r="C59" s="241">
        <v>2</v>
      </c>
      <c r="D59" s="241">
        <v>43385</v>
      </c>
      <c r="E59" s="241">
        <v>43613</v>
      </c>
      <c r="F59" s="241"/>
      <c r="G59" s="241"/>
      <c r="H59" s="241">
        <v>34</v>
      </c>
      <c r="I59" s="241">
        <v>43356</v>
      </c>
      <c r="J59" s="241">
        <v>33</v>
      </c>
      <c r="K59" s="241">
        <v>43383</v>
      </c>
      <c r="L59" s="241">
        <v>29</v>
      </c>
      <c r="M59" s="241">
        <v>43586</v>
      </c>
      <c r="N59" s="241">
        <v>22</v>
      </c>
      <c r="O59" s="241">
        <v>43837</v>
      </c>
      <c r="P59" s="241"/>
      <c r="Q59" s="241"/>
      <c r="R59" s="241"/>
      <c r="S59" s="241"/>
      <c r="T59" s="241"/>
      <c r="U59" s="241"/>
    </row>
    <row r="60" spans="1:21">
      <c r="A60" s="241">
        <v>2335</v>
      </c>
      <c r="B60" s="241" t="s">
        <v>10</v>
      </c>
      <c r="C60" s="241">
        <v>4</v>
      </c>
      <c r="D60" s="241">
        <v>43385</v>
      </c>
      <c r="E60" s="241">
        <v>43411</v>
      </c>
      <c r="F60" s="241">
        <v>43559</v>
      </c>
      <c r="G60" s="241">
        <v>43595</v>
      </c>
      <c r="H60" s="241">
        <v>41</v>
      </c>
      <c r="I60" s="241">
        <v>43356</v>
      </c>
      <c r="J60" s="241">
        <v>39</v>
      </c>
      <c r="K60" s="241">
        <v>43383</v>
      </c>
      <c r="L60" s="241">
        <v>38</v>
      </c>
      <c r="M60" s="241">
        <v>43531</v>
      </c>
      <c r="N60" s="241">
        <v>37</v>
      </c>
      <c r="O60" s="241">
        <v>43567</v>
      </c>
      <c r="P60" s="241">
        <v>36</v>
      </c>
      <c r="Q60" s="241">
        <v>43595</v>
      </c>
      <c r="R60" s="241">
        <v>29</v>
      </c>
      <c r="S60" s="241">
        <v>43829</v>
      </c>
      <c r="T60" s="241"/>
      <c r="U60" s="241"/>
    </row>
    <row r="61" spans="1:21">
      <c r="A61" s="241">
        <v>2339</v>
      </c>
      <c r="B61" s="241" t="s">
        <v>64</v>
      </c>
      <c r="C61" s="241">
        <v>2</v>
      </c>
      <c r="D61" s="241">
        <v>43392</v>
      </c>
      <c r="E61" s="241">
        <v>43418</v>
      </c>
      <c r="F61" s="241"/>
      <c r="G61" s="241"/>
      <c r="H61" s="241">
        <v>42</v>
      </c>
      <c r="I61" s="241">
        <v>43364</v>
      </c>
      <c r="J61" s="241">
        <v>42</v>
      </c>
      <c r="K61" s="241">
        <v>43392</v>
      </c>
      <c r="L61" s="241"/>
      <c r="M61" s="241"/>
      <c r="N61" s="241"/>
      <c r="O61" s="241"/>
      <c r="P61" s="241"/>
      <c r="Q61" s="241"/>
      <c r="R61" s="241"/>
      <c r="S61" s="241"/>
      <c r="T61" s="241"/>
      <c r="U61" s="241"/>
    </row>
    <row r="62" spans="1:21">
      <c r="A62" s="241">
        <v>2103</v>
      </c>
      <c r="B62" s="241" t="s">
        <v>13</v>
      </c>
      <c r="C62" s="241">
        <v>4</v>
      </c>
      <c r="D62" s="241">
        <v>43119</v>
      </c>
      <c r="E62" s="241">
        <v>43145</v>
      </c>
      <c r="F62" s="241">
        <v>43699</v>
      </c>
      <c r="G62" s="241">
        <v>43817</v>
      </c>
      <c r="H62" s="241">
        <v>47</v>
      </c>
      <c r="I62" s="241">
        <v>43035</v>
      </c>
      <c r="J62" s="241">
        <v>47</v>
      </c>
      <c r="K62" s="241">
        <v>43119</v>
      </c>
      <c r="L62" s="241">
        <v>42</v>
      </c>
      <c r="M62" s="241">
        <v>43395</v>
      </c>
      <c r="N62" s="241">
        <v>40</v>
      </c>
      <c r="O62" s="241">
        <v>43556</v>
      </c>
      <c r="P62" s="241">
        <v>36</v>
      </c>
      <c r="Q62" s="241">
        <v>43699</v>
      </c>
      <c r="R62" s="241">
        <v>33</v>
      </c>
      <c r="S62" s="241">
        <v>43850</v>
      </c>
      <c r="T62" s="241">
        <v>31</v>
      </c>
      <c r="U62" s="241">
        <v>43934</v>
      </c>
    </row>
    <row r="63" spans="1:21">
      <c r="A63" s="241">
        <v>2364</v>
      </c>
      <c r="B63" s="241" t="s">
        <v>63</v>
      </c>
      <c r="C63" s="241">
        <v>2</v>
      </c>
      <c r="D63" s="241">
        <v>43427</v>
      </c>
      <c r="E63" s="241">
        <v>43453</v>
      </c>
      <c r="F63" s="241"/>
      <c r="G63" s="241"/>
      <c r="H63" s="241">
        <v>14</v>
      </c>
      <c r="I63" s="241">
        <v>43398</v>
      </c>
      <c r="J63" s="241">
        <v>13</v>
      </c>
      <c r="K63" s="241">
        <v>43427</v>
      </c>
      <c r="L63" s="241"/>
      <c r="M63" s="241"/>
      <c r="N63" s="241"/>
      <c r="O63" s="241"/>
      <c r="P63" s="241"/>
      <c r="Q63" s="241"/>
      <c r="R63" s="241"/>
      <c r="S63" s="241"/>
      <c r="T63" s="241"/>
      <c r="U63" s="241"/>
    </row>
    <row r="64" spans="1:21">
      <c r="A64" s="241">
        <v>2383</v>
      </c>
      <c r="B64" s="241" t="s">
        <v>12</v>
      </c>
      <c r="C64" s="241">
        <v>4</v>
      </c>
      <c r="D64" s="241">
        <v>43454</v>
      </c>
      <c r="E64" s="241">
        <v>43480</v>
      </c>
      <c r="F64" s="241">
        <v>43707</v>
      </c>
      <c r="G64" s="241">
        <v>43746</v>
      </c>
      <c r="H64" s="241">
        <v>43</v>
      </c>
      <c r="I64" s="241">
        <v>43426</v>
      </c>
      <c r="J64" s="241">
        <v>43</v>
      </c>
      <c r="K64" s="241">
        <v>43454</v>
      </c>
      <c r="L64" s="241">
        <v>43</v>
      </c>
      <c r="M64" s="241">
        <v>43480</v>
      </c>
      <c r="N64" s="241">
        <v>39</v>
      </c>
      <c r="O64" s="241">
        <v>43707</v>
      </c>
      <c r="P64" s="241">
        <v>39</v>
      </c>
      <c r="Q64" s="241">
        <v>43756</v>
      </c>
      <c r="R64" s="241"/>
      <c r="S64" s="241"/>
      <c r="T64" s="241"/>
      <c r="U64" s="241"/>
    </row>
    <row r="65" spans="1:21">
      <c r="A65" s="241">
        <v>2384</v>
      </c>
      <c r="B65" s="241" t="s">
        <v>59</v>
      </c>
      <c r="C65" s="241">
        <v>2</v>
      </c>
      <c r="D65" s="241">
        <v>43455</v>
      </c>
      <c r="E65" s="241">
        <v>43481</v>
      </c>
      <c r="F65" s="241"/>
      <c r="G65" s="241"/>
      <c r="H65" s="241">
        <v>33</v>
      </c>
      <c r="I65" s="241">
        <v>43427</v>
      </c>
      <c r="J65" s="241">
        <v>33</v>
      </c>
      <c r="K65" s="241">
        <v>43455</v>
      </c>
      <c r="L65" s="241">
        <v>32</v>
      </c>
      <c r="M65" s="241">
        <v>43481</v>
      </c>
      <c r="N65" s="241">
        <v>22</v>
      </c>
      <c r="O65" s="241">
        <v>43870</v>
      </c>
      <c r="P65" s="241"/>
      <c r="Q65" s="241"/>
      <c r="R65" s="241"/>
      <c r="S65" s="241"/>
      <c r="T65" s="241"/>
      <c r="U65" s="241"/>
    </row>
    <row r="66" spans="1:21">
      <c r="A66" s="241">
        <v>2258</v>
      </c>
      <c r="B66" s="241" t="s">
        <v>27</v>
      </c>
      <c r="C66" s="241">
        <v>2</v>
      </c>
      <c r="D66" s="241">
        <v>43482</v>
      </c>
      <c r="E66" s="241">
        <v>43508</v>
      </c>
      <c r="F66" s="241"/>
      <c r="G66" s="241"/>
      <c r="H66" s="241">
        <v>41</v>
      </c>
      <c r="I66" s="241">
        <v>43238</v>
      </c>
      <c r="J66" s="241">
        <v>39</v>
      </c>
      <c r="K66" s="241">
        <v>43482</v>
      </c>
      <c r="L66" s="241">
        <v>39</v>
      </c>
      <c r="M66" s="241">
        <v>43598</v>
      </c>
      <c r="N66" s="241">
        <v>37</v>
      </c>
      <c r="O66" s="241">
        <v>43682</v>
      </c>
      <c r="P66" s="241">
        <v>33</v>
      </c>
      <c r="Q66" s="241">
        <v>43773</v>
      </c>
      <c r="R66" s="241"/>
      <c r="S66" s="241"/>
      <c r="T66" s="241"/>
      <c r="U66" s="241"/>
    </row>
    <row r="67" spans="1:21">
      <c r="A67" s="241">
        <v>2445</v>
      </c>
      <c r="B67" s="241" t="s">
        <v>16</v>
      </c>
      <c r="C67" s="241">
        <v>3</v>
      </c>
      <c r="D67" s="241">
        <v>43532</v>
      </c>
      <c r="E67" s="241">
        <v>43558</v>
      </c>
      <c r="F67" s="241">
        <v>43740</v>
      </c>
      <c r="G67" s="241"/>
      <c r="H67" s="241">
        <v>42</v>
      </c>
      <c r="I67" s="241">
        <v>43504</v>
      </c>
      <c r="J67" s="241">
        <v>42</v>
      </c>
      <c r="K67" s="241">
        <v>43532</v>
      </c>
      <c r="L67" s="241">
        <v>42</v>
      </c>
      <c r="M67" s="241">
        <v>43558</v>
      </c>
      <c r="N67" s="241">
        <v>42</v>
      </c>
      <c r="O67" s="241">
        <v>43740</v>
      </c>
      <c r="P67" s="241"/>
      <c r="Q67" s="241"/>
      <c r="R67" s="241"/>
      <c r="S67" s="241"/>
      <c r="T67" s="241"/>
      <c r="U67" s="241"/>
    </row>
    <row r="68" spans="1:21">
      <c r="A68" s="241">
        <v>2491</v>
      </c>
      <c r="B68" s="241" t="s">
        <v>48</v>
      </c>
      <c r="C68" s="241">
        <v>2</v>
      </c>
      <c r="D68" s="241">
        <v>43581</v>
      </c>
      <c r="E68" s="241">
        <v>43607</v>
      </c>
      <c r="F68" s="241"/>
      <c r="G68" s="241"/>
      <c r="H68" s="241">
        <v>29</v>
      </c>
      <c r="I68" s="241">
        <v>43553</v>
      </c>
      <c r="J68" s="241">
        <v>29</v>
      </c>
      <c r="K68" s="241">
        <v>43581</v>
      </c>
      <c r="L68" s="241">
        <v>28</v>
      </c>
      <c r="M68" s="241">
        <v>43607</v>
      </c>
      <c r="N68" s="241"/>
      <c r="O68" s="241"/>
      <c r="P68" s="241"/>
      <c r="Q68" s="241"/>
      <c r="R68" s="241"/>
      <c r="S68" s="241"/>
      <c r="T68" s="241"/>
      <c r="U68" s="241"/>
    </row>
    <row r="69" spans="1:21">
      <c r="A69" s="241">
        <v>2392</v>
      </c>
      <c r="B69" s="241" t="s">
        <v>19</v>
      </c>
      <c r="C69" s="241">
        <v>2</v>
      </c>
      <c r="D69" s="241">
        <v>43581</v>
      </c>
      <c r="E69" s="241">
        <v>43607</v>
      </c>
      <c r="F69" s="241"/>
      <c r="G69" s="241"/>
      <c r="H69" s="241">
        <v>43</v>
      </c>
      <c r="I69" s="241">
        <v>43434</v>
      </c>
      <c r="J69" s="241">
        <v>39</v>
      </c>
      <c r="K69" s="241">
        <v>43511</v>
      </c>
      <c r="L69" s="241">
        <v>28</v>
      </c>
      <c r="M69" s="241">
        <v>43670</v>
      </c>
      <c r="N69" s="241">
        <v>19</v>
      </c>
      <c r="O69" s="241">
        <v>43892</v>
      </c>
      <c r="P69" s="241"/>
      <c r="Q69" s="241"/>
      <c r="R69" s="241"/>
      <c r="S69" s="241"/>
      <c r="T69" s="241"/>
      <c r="U69" s="241"/>
    </row>
    <row r="70" spans="1:21">
      <c r="A70" s="241">
        <v>2497</v>
      </c>
      <c r="B70" s="241" t="s">
        <v>15</v>
      </c>
      <c r="C70" s="241">
        <v>3</v>
      </c>
      <c r="D70" s="241">
        <v>43587</v>
      </c>
      <c r="E70" s="241">
        <v>43613</v>
      </c>
      <c r="F70" s="241">
        <v>43833</v>
      </c>
      <c r="G70" s="241"/>
      <c r="H70" s="241">
        <v>43</v>
      </c>
      <c r="I70" s="241">
        <v>43559</v>
      </c>
      <c r="J70" s="241">
        <v>43</v>
      </c>
      <c r="K70" s="241">
        <v>43587</v>
      </c>
      <c r="L70" s="241">
        <v>43</v>
      </c>
      <c r="M70" s="241">
        <v>43613</v>
      </c>
      <c r="N70" s="241">
        <v>36</v>
      </c>
      <c r="O70" s="241">
        <v>43833</v>
      </c>
      <c r="P70" s="241"/>
      <c r="Q70" s="241"/>
      <c r="R70" s="241"/>
      <c r="S70" s="241"/>
      <c r="T70" s="241"/>
      <c r="U70" s="241"/>
    </row>
    <row r="71" spans="1:21">
      <c r="A71" s="241">
        <v>2504</v>
      </c>
      <c r="B71" s="241" t="s">
        <v>17</v>
      </c>
      <c r="C71" s="241">
        <v>3</v>
      </c>
      <c r="D71" s="241">
        <v>43594</v>
      </c>
      <c r="E71" s="241">
        <v>43620</v>
      </c>
      <c r="F71" s="241">
        <v>43791</v>
      </c>
      <c r="G71" s="241"/>
      <c r="H71" s="241">
        <v>42</v>
      </c>
      <c r="I71" s="241">
        <v>43566</v>
      </c>
      <c r="J71" s="241">
        <v>42</v>
      </c>
      <c r="K71" s="241">
        <v>43594</v>
      </c>
      <c r="L71" s="241">
        <v>42</v>
      </c>
      <c r="M71" s="241">
        <v>43620</v>
      </c>
      <c r="N71" s="241">
        <v>38</v>
      </c>
      <c r="O71" s="241">
        <v>43791</v>
      </c>
      <c r="P71" s="241"/>
      <c r="Q71" s="241"/>
      <c r="R71" s="241"/>
      <c r="S71" s="241"/>
      <c r="T71" s="241"/>
      <c r="U71" s="241"/>
    </row>
    <row r="72" spans="1:21">
      <c r="A72" s="241">
        <v>2503</v>
      </c>
      <c r="B72" s="241" t="s">
        <v>49</v>
      </c>
      <c r="C72" s="241">
        <v>2</v>
      </c>
      <c r="D72" s="241">
        <v>43594</v>
      </c>
      <c r="E72" s="241">
        <v>43620</v>
      </c>
      <c r="F72" s="241"/>
      <c r="G72" s="241"/>
      <c r="H72" s="241">
        <v>40</v>
      </c>
      <c r="I72" s="241">
        <v>43566</v>
      </c>
      <c r="J72" s="241">
        <v>40</v>
      </c>
      <c r="K72" s="241">
        <v>43566</v>
      </c>
      <c r="L72" s="241">
        <v>40</v>
      </c>
      <c r="M72" s="241">
        <v>43594</v>
      </c>
      <c r="N72" s="241"/>
      <c r="O72" s="241"/>
      <c r="P72" s="241"/>
      <c r="Q72" s="241"/>
      <c r="R72" s="241"/>
      <c r="S72" s="241"/>
      <c r="T72" s="241"/>
      <c r="U72" s="241"/>
    </row>
    <row r="73" spans="1:21">
      <c r="A73" s="241">
        <v>2509</v>
      </c>
      <c r="B73" s="241" t="s">
        <v>61</v>
      </c>
      <c r="C73" s="241">
        <v>2</v>
      </c>
      <c r="D73" s="241">
        <v>43602</v>
      </c>
      <c r="E73" s="241">
        <v>43628</v>
      </c>
      <c r="F73" s="241"/>
      <c r="G73" s="241"/>
      <c r="H73" s="241">
        <v>37</v>
      </c>
      <c r="I73" s="241">
        <v>43574</v>
      </c>
      <c r="J73" s="241">
        <v>37</v>
      </c>
      <c r="K73" s="241">
        <v>43574</v>
      </c>
      <c r="L73" s="241"/>
      <c r="M73" s="241"/>
      <c r="N73" s="241"/>
      <c r="O73" s="241"/>
      <c r="P73" s="241"/>
      <c r="Q73" s="241"/>
      <c r="R73" s="241"/>
      <c r="S73" s="241"/>
      <c r="T73" s="241"/>
      <c r="U73" s="241"/>
    </row>
    <row r="74" spans="1:21">
      <c r="A74" s="241">
        <v>2388</v>
      </c>
      <c r="B74" s="241" t="s">
        <v>62</v>
      </c>
      <c r="C74" s="241">
        <v>2</v>
      </c>
      <c r="D74" s="241">
        <v>43615</v>
      </c>
      <c r="E74" s="241">
        <v>43641</v>
      </c>
      <c r="F74" s="241"/>
      <c r="G74" s="241"/>
      <c r="H74" s="241">
        <v>44</v>
      </c>
      <c r="I74" s="241">
        <v>43434</v>
      </c>
      <c r="J74" s="241">
        <v>39</v>
      </c>
      <c r="K74" s="241">
        <v>43615</v>
      </c>
      <c r="L74" s="241"/>
      <c r="M74" s="241"/>
      <c r="N74" s="241"/>
      <c r="O74" s="241"/>
      <c r="P74" s="241"/>
      <c r="Q74" s="241"/>
      <c r="R74" s="241"/>
      <c r="S74" s="241"/>
      <c r="T74" s="241"/>
      <c r="U74" s="241"/>
    </row>
    <row r="75" spans="1:21">
      <c r="A75" s="241">
        <v>2532</v>
      </c>
      <c r="B75" s="241" t="s">
        <v>76</v>
      </c>
      <c r="C75" s="241">
        <v>3</v>
      </c>
      <c r="D75" s="241">
        <v>43629</v>
      </c>
      <c r="E75" s="241">
        <v>43700</v>
      </c>
      <c r="F75" s="241">
        <v>43746</v>
      </c>
      <c r="G75" s="241"/>
      <c r="H75" s="241">
        <v>31</v>
      </c>
      <c r="I75" s="241">
        <v>43601</v>
      </c>
      <c r="J75" s="241">
        <v>29</v>
      </c>
      <c r="K75" s="241">
        <v>43629</v>
      </c>
      <c r="L75" s="241">
        <v>26</v>
      </c>
      <c r="M75" s="241">
        <v>43746</v>
      </c>
      <c r="N75" s="241">
        <v>25</v>
      </c>
      <c r="O75" s="241">
        <v>43857</v>
      </c>
      <c r="P75" s="241"/>
      <c r="Q75" s="241"/>
      <c r="R75" s="241"/>
      <c r="S75" s="241"/>
      <c r="T75" s="241"/>
      <c r="U75" s="241"/>
    </row>
    <row r="76" spans="1:21">
      <c r="A76" s="241">
        <v>2533</v>
      </c>
      <c r="B76" s="241" t="s">
        <v>77</v>
      </c>
      <c r="C76" s="241">
        <v>3</v>
      </c>
      <c r="D76" s="241">
        <v>43630</v>
      </c>
      <c r="E76" s="241">
        <v>43693</v>
      </c>
      <c r="F76" s="241">
        <v>43740</v>
      </c>
      <c r="G76" s="241"/>
      <c r="H76" s="241">
        <v>36</v>
      </c>
      <c r="I76" s="241">
        <v>43602</v>
      </c>
      <c r="J76" s="241">
        <v>35</v>
      </c>
      <c r="K76" s="241">
        <v>43630</v>
      </c>
      <c r="L76" s="241">
        <v>34</v>
      </c>
      <c r="M76" s="241">
        <v>43693</v>
      </c>
      <c r="N76" s="241">
        <v>31</v>
      </c>
      <c r="O76" s="241">
        <v>43740</v>
      </c>
      <c r="P76" s="241"/>
      <c r="Q76" s="241"/>
      <c r="R76" s="241"/>
      <c r="S76" s="241"/>
      <c r="T76" s="241"/>
      <c r="U76" s="241"/>
    </row>
    <row r="77" spans="1:21">
      <c r="A77" s="241">
        <v>2501</v>
      </c>
      <c r="B77" s="241" t="s">
        <v>60</v>
      </c>
      <c r="C77" s="241">
        <v>2</v>
      </c>
      <c r="D77" s="241">
        <v>43643</v>
      </c>
      <c r="E77" s="241">
        <v>43669</v>
      </c>
      <c r="F77" s="241"/>
      <c r="G77" s="241"/>
      <c r="H77" s="241">
        <v>34</v>
      </c>
      <c r="I77" s="241">
        <v>43560</v>
      </c>
      <c r="J77" s="241">
        <v>33</v>
      </c>
      <c r="K77" s="241">
        <v>43643</v>
      </c>
      <c r="L77" s="241"/>
      <c r="M77" s="241"/>
      <c r="N77" s="241"/>
      <c r="O77" s="241"/>
      <c r="P77" s="241"/>
      <c r="Q77" s="241"/>
      <c r="R77" s="241"/>
      <c r="S77" s="241"/>
      <c r="T77" s="241"/>
      <c r="U77" s="241"/>
    </row>
    <row r="78" spans="1:21">
      <c r="A78" s="241">
        <v>2541</v>
      </c>
      <c r="B78" s="241" t="s">
        <v>18</v>
      </c>
      <c r="C78" s="241">
        <v>3</v>
      </c>
      <c r="D78" s="241">
        <v>43643</v>
      </c>
      <c r="E78" s="241">
        <v>43669</v>
      </c>
      <c r="F78" s="241">
        <v>43776</v>
      </c>
      <c r="G78" s="241"/>
      <c r="H78" s="241">
        <v>37</v>
      </c>
      <c r="I78" s="241">
        <v>43615</v>
      </c>
      <c r="J78" s="241">
        <v>37</v>
      </c>
      <c r="K78" s="241">
        <v>43643</v>
      </c>
      <c r="L78" s="241">
        <v>37</v>
      </c>
      <c r="M78" s="241">
        <v>43669</v>
      </c>
      <c r="N78" s="241">
        <v>37</v>
      </c>
      <c r="O78" s="241">
        <v>43777</v>
      </c>
      <c r="P78" s="241"/>
      <c r="Q78" s="241"/>
      <c r="R78" s="241"/>
      <c r="S78" s="241"/>
      <c r="T78" s="241"/>
      <c r="U78" s="241"/>
    </row>
    <row r="79" spans="1:21">
      <c r="A79" s="241">
        <v>2596</v>
      </c>
      <c r="B79" s="241" t="s">
        <v>52</v>
      </c>
      <c r="C79" s="241">
        <v>2</v>
      </c>
      <c r="D79" s="241">
        <v>43763</v>
      </c>
      <c r="E79" s="241">
        <v>43791</v>
      </c>
      <c r="F79" s="241"/>
      <c r="G79" s="241"/>
      <c r="H79" s="241">
        <v>23</v>
      </c>
      <c r="I79" s="241">
        <v>43693</v>
      </c>
      <c r="J79" s="241">
        <v>23</v>
      </c>
      <c r="K79" s="241">
        <v>43693</v>
      </c>
      <c r="L79" s="241">
        <v>21</v>
      </c>
      <c r="M79" s="241">
        <v>43878</v>
      </c>
      <c r="N79" s="241"/>
      <c r="O79" s="241"/>
      <c r="P79" s="241"/>
      <c r="Q79" s="241"/>
      <c r="R79" s="241"/>
      <c r="S79" s="241"/>
      <c r="T79" s="241"/>
      <c r="U79" s="241"/>
    </row>
    <row r="80" spans="1:21">
      <c r="A80" s="241">
        <v>2595</v>
      </c>
      <c r="B80" s="241" t="s">
        <v>53</v>
      </c>
      <c r="C80" s="241">
        <v>3</v>
      </c>
      <c r="D80" s="241">
        <v>43753</v>
      </c>
      <c r="E80" s="241">
        <v>43781</v>
      </c>
      <c r="F80" s="241">
        <v>43880</v>
      </c>
      <c r="G80" s="241"/>
      <c r="H80" s="241">
        <v>30</v>
      </c>
      <c r="I80" s="241">
        <v>43685</v>
      </c>
      <c r="J80" s="241">
        <v>28</v>
      </c>
      <c r="K80" s="241">
        <v>43753</v>
      </c>
      <c r="L80" s="241">
        <v>25</v>
      </c>
      <c r="M80" s="241">
        <v>43781</v>
      </c>
      <c r="N80" s="241">
        <v>25</v>
      </c>
      <c r="O80" s="241">
        <v>43881</v>
      </c>
      <c r="P80" s="241"/>
      <c r="Q80" s="241"/>
      <c r="R80" s="241"/>
      <c r="S80" s="241"/>
      <c r="T80" s="241"/>
      <c r="U80" s="241"/>
    </row>
    <row r="81" spans="1:21">
      <c r="A81" s="241">
        <v>2636</v>
      </c>
      <c r="B81" s="241" t="s">
        <v>80</v>
      </c>
      <c r="C81" s="241">
        <v>2</v>
      </c>
      <c r="D81" s="241">
        <v>43789</v>
      </c>
      <c r="E81" s="241">
        <v>43873</v>
      </c>
      <c r="F81" s="241"/>
      <c r="G81" s="241"/>
      <c r="H81" s="241">
        <v>30</v>
      </c>
      <c r="I81" s="241">
        <v>43749</v>
      </c>
      <c r="J81" s="241">
        <v>26</v>
      </c>
      <c r="K81" s="241">
        <v>43791</v>
      </c>
      <c r="L81" s="241">
        <v>22</v>
      </c>
      <c r="M81" s="241">
        <v>43872</v>
      </c>
      <c r="N81" s="241"/>
      <c r="O81" s="241"/>
      <c r="P81" s="241"/>
      <c r="Q81" s="241"/>
      <c r="R81" s="241"/>
      <c r="S81" s="241"/>
      <c r="T81" s="241"/>
      <c r="U81" s="241"/>
    </row>
    <row r="82" spans="1:21">
      <c r="A82" s="241">
        <v>2428</v>
      </c>
      <c r="B82" s="241" t="s">
        <v>78</v>
      </c>
      <c r="C82" s="241">
        <v>3</v>
      </c>
      <c r="D82" s="241">
        <v>43629</v>
      </c>
      <c r="E82" s="241">
        <v>43697</v>
      </c>
      <c r="F82" s="241">
        <v>43760</v>
      </c>
      <c r="G82" s="241"/>
      <c r="H82" s="241">
        <v>43</v>
      </c>
      <c r="I82" s="241">
        <v>43483</v>
      </c>
      <c r="J82" s="241">
        <v>42</v>
      </c>
      <c r="K82" s="241">
        <v>43556</v>
      </c>
      <c r="L82" s="241">
        <v>41</v>
      </c>
      <c r="M82" s="241">
        <v>43647</v>
      </c>
      <c r="N82" s="241">
        <v>39</v>
      </c>
      <c r="O82" s="241">
        <v>43731</v>
      </c>
      <c r="P82" s="241">
        <v>34</v>
      </c>
      <c r="Q82" s="241">
        <v>43822</v>
      </c>
      <c r="R82" s="241">
        <v>32</v>
      </c>
      <c r="S82" s="241">
        <v>43885</v>
      </c>
      <c r="T82" s="241"/>
      <c r="U82" s="241"/>
    </row>
    <row r="83" spans="1:21">
      <c r="A83" s="241">
        <v>2652</v>
      </c>
      <c r="B83" s="241" t="s">
        <v>47</v>
      </c>
      <c r="C83" s="241">
        <v>2</v>
      </c>
      <c r="D83" s="241">
        <v>43810</v>
      </c>
      <c r="E83" s="241">
        <v>43838</v>
      </c>
      <c r="F83" s="241"/>
      <c r="G83" s="241"/>
      <c r="H83" s="241">
        <v>35</v>
      </c>
      <c r="I83" s="241">
        <v>43769</v>
      </c>
      <c r="J83" s="241">
        <v>35</v>
      </c>
      <c r="K83" s="241">
        <v>43769</v>
      </c>
      <c r="L83" s="241">
        <v>34</v>
      </c>
      <c r="M83" s="241">
        <v>43810</v>
      </c>
      <c r="N83" s="241">
        <v>33</v>
      </c>
      <c r="O83" s="241">
        <v>43838</v>
      </c>
      <c r="P83" s="241"/>
      <c r="Q83" s="241"/>
      <c r="R83" s="241"/>
      <c r="S83" s="241"/>
      <c r="T83" s="241"/>
      <c r="U83" s="241"/>
    </row>
    <row r="84" spans="1:21">
      <c r="D84" s="244"/>
      <c r="E84" s="244"/>
      <c r="F84" s="245"/>
      <c r="G84" s="246"/>
    </row>
    <row r="85" spans="1:21">
      <c r="D85" s="244"/>
      <c r="E85" s="244"/>
      <c r="F85" s="245"/>
      <c r="G85" s="246"/>
    </row>
    <row r="86" spans="1:21">
      <c r="D86" s="244"/>
      <c r="E86" s="244"/>
      <c r="F86" s="245"/>
      <c r="G86" s="246"/>
    </row>
    <row r="87" spans="1:21">
      <c r="D87" s="244"/>
      <c r="E87" s="244"/>
      <c r="F87" s="245"/>
      <c r="G87" s="246"/>
    </row>
    <row r="88" spans="1:21">
      <c r="D88" s="244"/>
      <c r="E88" s="244"/>
      <c r="F88" s="245"/>
      <c r="G88" s="246"/>
    </row>
    <row r="89" spans="1:21">
      <c r="D89" s="244"/>
      <c r="E89" s="244"/>
      <c r="F89" s="245"/>
      <c r="G89" s="246"/>
    </row>
    <row r="90" spans="1:21">
      <c r="D90" s="244"/>
      <c r="E90" s="244"/>
      <c r="F90" s="245"/>
      <c r="G90" s="246"/>
    </row>
    <row r="91" spans="1:21">
      <c r="D91" s="244"/>
      <c r="E91" s="244"/>
      <c r="F91" s="245"/>
      <c r="G91" s="246"/>
    </row>
    <row r="92" spans="1:21">
      <c r="D92" s="244"/>
      <c r="E92" s="244"/>
      <c r="F92" s="245"/>
      <c r="G92" s="246"/>
    </row>
    <row r="93" spans="1:21">
      <c r="D93" s="244"/>
      <c r="E93" s="244"/>
      <c r="F93" s="245"/>
      <c r="G93" s="246"/>
    </row>
    <row r="94" spans="1:21">
      <c r="D94" s="244"/>
      <c r="E94" s="244"/>
      <c r="F94" s="245"/>
      <c r="G94" s="246"/>
    </row>
    <row r="95" spans="1:21">
      <c r="D95" s="244"/>
      <c r="E95" s="244"/>
      <c r="F95" s="245"/>
      <c r="G95" s="246"/>
    </row>
    <row r="96" spans="1:21">
      <c r="D96" s="244"/>
      <c r="E96" s="244"/>
      <c r="F96" s="245"/>
      <c r="G96" s="246"/>
    </row>
    <row r="97" spans="4:7">
      <c r="D97" s="244"/>
      <c r="E97" s="244"/>
      <c r="F97" s="245"/>
      <c r="G97" s="246"/>
    </row>
    <row r="98" spans="4:7">
      <c r="D98" s="244"/>
      <c r="E98" s="244"/>
      <c r="F98" s="245"/>
      <c r="G98" s="246"/>
    </row>
    <row r="99" spans="4:7">
      <c r="D99" s="244"/>
      <c r="E99" s="244"/>
      <c r="F99" s="245"/>
      <c r="G99" s="246"/>
    </row>
    <row r="100" spans="4:7">
      <c r="D100" s="244"/>
      <c r="E100" s="244"/>
      <c r="F100" s="245"/>
      <c r="G100" s="246"/>
    </row>
    <row r="101" spans="4:7">
      <c r="D101" s="244"/>
      <c r="E101" s="244"/>
      <c r="F101" s="245"/>
      <c r="G101" s="246"/>
    </row>
    <row r="102" spans="4:7">
      <c r="D102" s="244"/>
      <c r="E102" s="244"/>
      <c r="F102" s="245"/>
      <c r="G102" s="246"/>
    </row>
    <row r="103" spans="4:7">
      <c r="D103" s="244"/>
      <c r="E103" s="244"/>
      <c r="F103" s="245"/>
      <c r="G103" s="246"/>
    </row>
    <row r="104" spans="4:7">
      <c r="D104" s="244"/>
      <c r="E104" s="244"/>
      <c r="F104" s="245"/>
      <c r="G104" s="246"/>
    </row>
    <row r="105" spans="4:7">
      <c r="D105" s="244"/>
      <c r="E105" s="244"/>
      <c r="F105" s="245"/>
      <c r="G105" s="246"/>
    </row>
    <row r="106" spans="4:7">
      <c r="D106" s="244"/>
      <c r="E106" s="244"/>
      <c r="F106" s="245"/>
      <c r="G106" s="246"/>
    </row>
    <row r="107" spans="4:7">
      <c r="D107" s="244"/>
      <c r="E107" s="244"/>
      <c r="F107" s="245"/>
      <c r="G107" s="246"/>
    </row>
    <row r="108" spans="4:7">
      <c r="D108" s="244"/>
      <c r="E108" s="244"/>
      <c r="F108" s="245"/>
      <c r="G108" s="246"/>
    </row>
    <row r="109" spans="4:7">
      <c r="D109" s="244"/>
      <c r="E109" s="244"/>
      <c r="F109" s="245"/>
      <c r="G109" s="246"/>
    </row>
    <row r="110" spans="4:7">
      <c r="D110" s="244"/>
      <c r="E110" s="244"/>
      <c r="F110" s="245"/>
      <c r="G110" s="246"/>
    </row>
    <row r="111" spans="4:7">
      <c r="D111" s="244"/>
      <c r="E111" s="244"/>
      <c r="F111" s="245"/>
      <c r="G111" s="246"/>
    </row>
    <row r="112" spans="4:7">
      <c r="D112" s="244"/>
      <c r="E112" s="244"/>
      <c r="F112" s="245"/>
      <c r="G112" s="246"/>
    </row>
    <row r="113" spans="4:7">
      <c r="D113" s="244"/>
      <c r="E113" s="244"/>
      <c r="F113" s="245"/>
      <c r="G113" s="246"/>
    </row>
    <row r="114" spans="4:7">
      <c r="D114" s="244"/>
      <c r="E114" s="244"/>
      <c r="F114" s="245"/>
      <c r="G114" s="246"/>
    </row>
    <row r="115" spans="4:7">
      <c r="D115" s="244"/>
      <c r="E115" s="244"/>
      <c r="F115" s="245"/>
      <c r="G115" s="246"/>
    </row>
    <row r="116" spans="4:7">
      <c r="D116" s="244"/>
      <c r="E116" s="244"/>
      <c r="F116" s="245"/>
      <c r="G116" s="246"/>
    </row>
    <row r="117" spans="4:7">
      <c r="D117" s="244"/>
      <c r="E117" s="244"/>
      <c r="F117" s="245"/>
      <c r="G117" s="246"/>
    </row>
    <row r="118" spans="4:7">
      <c r="D118" s="244"/>
      <c r="E118" s="244"/>
      <c r="F118" s="245"/>
      <c r="G118" s="246"/>
    </row>
    <row r="119" spans="4:7">
      <c r="D119" s="244"/>
      <c r="E119" s="244"/>
      <c r="F119" s="245"/>
      <c r="G119" s="246"/>
    </row>
    <row r="120" spans="4:7">
      <c r="D120" s="244"/>
      <c r="E120" s="244"/>
      <c r="F120" s="245"/>
      <c r="G120" s="246"/>
    </row>
    <row r="121" spans="4:7">
      <c r="D121" s="244"/>
      <c r="E121" s="244"/>
      <c r="F121" s="245"/>
      <c r="G121" s="246"/>
    </row>
    <row r="122" spans="4:7">
      <c r="D122" s="244"/>
      <c r="E122" s="244"/>
      <c r="F122" s="245"/>
      <c r="G122" s="246"/>
    </row>
    <row r="123" spans="4:7">
      <c r="D123" s="244"/>
      <c r="E123" s="244"/>
      <c r="F123" s="245"/>
      <c r="G123" s="246"/>
    </row>
    <row r="124" spans="4:7">
      <c r="D124" s="244"/>
      <c r="E124" s="244"/>
      <c r="F124" s="245"/>
      <c r="G124" s="246"/>
    </row>
    <row r="125" spans="4:7">
      <c r="D125" s="244"/>
      <c r="E125" s="244"/>
      <c r="F125" s="245"/>
      <c r="G125" s="246"/>
    </row>
    <row r="126" spans="4:7">
      <c r="D126" s="244"/>
      <c r="E126" s="244"/>
      <c r="F126" s="245"/>
      <c r="G126" s="246"/>
    </row>
    <row r="127" spans="4:7">
      <c r="D127" s="244"/>
      <c r="E127" s="244"/>
      <c r="F127" s="245"/>
      <c r="G127" s="246"/>
    </row>
    <row r="128" spans="4:7">
      <c r="D128" s="244"/>
      <c r="E128" s="244"/>
      <c r="F128" s="245"/>
      <c r="G128" s="246"/>
    </row>
    <row r="129" spans="4:7">
      <c r="D129" s="244"/>
      <c r="E129" s="244"/>
      <c r="F129" s="245"/>
      <c r="G129" s="246"/>
    </row>
    <row r="130" spans="4:7">
      <c r="D130" s="244"/>
      <c r="E130" s="244"/>
      <c r="F130" s="245"/>
      <c r="G130" s="246"/>
    </row>
    <row r="131" spans="4:7">
      <c r="D131" s="244"/>
      <c r="E131" s="244"/>
      <c r="F131" s="245"/>
      <c r="G131" s="246"/>
    </row>
    <row r="132" spans="4:7">
      <c r="D132" s="244"/>
      <c r="E132" s="244"/>
      <c r="F132" s="245"/>
      <c r="G132" s="246"/>
    </row>
    <row r="133" spans="4:7">
      <c r="D133" s="244"/>
      <c r="E133" s="244"/>
      <c r="F133" s="245"/>
      <c r="G133" s="246"/>
    </row>
    <row r="134" spans="4:7">
      <c r="D134" s="244"/>
      <c r="E134" s="244"/>
      <c r="F134" s="245"/>
      <c r="G134" s="246"/>
    </row>
    <row r="135" spans="4:7">
      <c r="D135" s="244"/>
      <c r="E135" s="244"/>
      <c r="F135" s="245"/>
      <c r="G135" s="246"/>
    </row>
    <row r="136" spans="4:7">
      <c r="D136" s="244"/>
      <c r="E136" s="244"/>
      <c r="F136" s="245"/>
      <c r="G136" s="246"/>
    </row>
    <row r="137" spans="4:7">
      <c r="D137" s="244"/>
      <c r="E137" s="244"/>
      <c r="F137" s="245"/>
      <c r="G137" s="246"/>
    </row>
    <row r="138" spans="4:7">
      <c r="D138" s="244"/>
      <c r="E138" s="244"/>
      <c r="F138" s="245"/>
      <c r="G138" s="246"/>
    </row>
    <row r="139" spans="4:7">
      <c r="D139" s="244"/>
      <c r="E139" s="244"/>
      <c r="F139" s="245"/>
      <c r="G139" s="246"/>
    </row>
    <row r="140" spans="4:7">
      <c r="D140" s="244"/>
      <c r="E140" s="244"/>
      <c r="F140" s="245"/>
      <c r="G140" s="246"/>
    </row>
    <row r="141" spans="4:7">
      <c r="D141" s="244"/>
      <c r="E141" s="244"/>
      <c r="F141" s="245"/>
      <c r="G141" s="246"/>
    </row>
    <row r="142" spans="4:7">
      <c r="D142" s="244"/>
      <c r="E142" s="244"/>
      <c r="F142" s="245"/>
      <c r="G142" s="246"/>
    </row>
    <row r="143" spans="4:7">
      <c r="D143" s="244"/>
      <c r="E143" s="244"/>
      <c r="F143" s="245"/>
      <c r="G143" s="246"/>
    </row>
    <row r="144" spans="4:7">
      <c r="D144" s="244"/>
      <c r="E144" s="244"/>
      <c r="F144" s="245"/>
      <c r="G144" s="246"/>
    </row>
    <row r="145" spans="4:7">
      <c r="D145" s="244"/>
      <c r="E145" s="244"/>
      <c r="F145" s="245"/>
      <c r="G145" s="246"/>
    </row>
    <row r="146" spans="4:7">
      <c r="D146" s="244"/>
      <c r="E146" s="244"/>
      <c r="F146" s="245"/>
      <c r="G146" s="246"/>
    </row>
    <row r="147" spans="4:7">
      <c r="D147" s="244"/>
      <c r="E147" s="244"/>
      <c r="F147" s="245"/>
      <c r="G147" s="246"/>
    </row>
    <row r="148" spans="4:7">
      <c r="D148" s="244"/>
      <c r="E148" s="244"/>
      <c r="F148" s="245"/>
      <c r="G148" s="246"/>
    </row>
    <row r="149" spans="4:7">
      <c r="D149" s="244"/>
      <c r="E149" s="244"/>
      <c r="F149" s="245"/>
      <c r="G149" s="246"/>
    </row>
    <row r="150" spans="4:7">
      <c r="D150" s="244"/>
      <c r="E150" s="244"/>
      <c r="F150" s="245"/>
      <c r="G150" s="246"/>
    </row>
    <row r="151" spans="4:7">
      <c r="D151" s="244"/>
      <c r="E151" s="244"/>
      <c r="F151" s="245"/>
      <c r="G151" s="246"/>
    </row>
    <row r="152" spans="4:7">
      <c r="D152" s="244"/>
      <c r="E152" s="244"/>
      <c r="F152" s="245"/>
      <c r="G152" s="246"/>
    </row>
    <row r="153" spans="4:7">
      <c r="D153" s="244"/>
      <c r="E153" s="244"/>
      <c r="F153" s="245"/>
      <c r="G153" s="246"/>
    </row>
    <row r="154" spans="4:7">
      <c r="D154" s="244"/>
      <c r="E154" s="244"/>
      <c r="F154" s="245"/>
      <c r="G154" s="246"/>
    </row>
    <row r="155" spans="4:7">
      <c r="D155" s="244"/>
      <c r="E155" s="244"/>
      <c r="F155" s="245"/>
      <c r="G155" s="246"/>
    </row>
    <row r="156" spans="4:7">
      <c r="D156" s="244"/>
      <c r="E156" s="244"/>
      <c r="F156" s="245"/>
      <c r="G156" s="246"/>
    </row>
    <row r="157" spans="4:7">
      <c r="D157" s="244"/>
      <c r="E157" s="244"/>
      <c r="F157" s="245"/>
      <c r="G157" s="246"/>
    </row>
    <row r="158" spans="4:7">
      <c r="D158" s="244"/>
      <c r="E158" s="244"/>
      <c r="F158" s="245"/>
      <c r="G158" s="246"/>
    </row>
    <row r="159" spans="4:7">
      <c r="D159" s="244"/>
      <c r="E159" s="244"/>
      <c r="F159" s="245"/>
      <c r="G159" s="246"/>
    </row>
    <row r="160" spans="4:7">
      <c r="D160" s="244"/>
      <c r="E160" s="244"/>
      <c r="F160" s="245"/>
      <c r="G160" s="246"/>
    </row>
    <row r="161" spans="4:7">
      <c r="D161" s="244"/>
      <c r="E161" s="244"/>
      <c r="F161" s="245"/>
      <c r="G161" s="246"/>
    </row>
    <row r="162" spans="4:7">
      <c r="D162" s="244"/>
      <c r="E162" s="244"/>
      <c r="F162" s="245"/>
      <c r="G162" s="246"/>
    </row>
    <row r="163" spans="4:7">
      <c r="D163" s="244"/>
      <c r="E163" s="244"/>
      <c r="F163" s="245"/>
      <c r="G163" s="246"/>
    </row>
    <row r="164" spans="4:7">
      <c r="D164" s="244"/>
      <c r="E164" s="244"/>
      <c r="F164" s="245"/>
      <c r="G164" s="246"/>
    </row>
    <row r="165" spans="4:7">
      <c r="D165" s="244"/>
      <c r="E165" s="244"/>
      <c r="F165" s="245"/>
      <c r="G165" s="246"/>
    </row>
    <row r="166" spans="4:7">
      <c r="D166" s="244"/>
      <c r="E166" s="244"/>
      <c r="F166" s="245"/>
      <c r="G166" s="246"/>
    </row>
    <row r="167" spans="4:7">
      <c r="D167" s="244"/>
      <c r="E167" s="244"/>
      <c r="F167" s="245"/>
      <c r="G167" s="246"/>
    </row>
    <row r="168" spans="4:7">
      <c r="D168" s="244"/>
      <c r="E168" s="244"/>
      <c r="F168" s="245"/>
      <c r="G168" s="246"/>
    </row>
    <row r="169" spans="4:7">
      <c r="D169" s="244"/>
      <c r="E169" s="244"/>
      <c r="F169" s="245"/>
      <c r="G169" s="246"/>
    </row>
    <row r="170" spans="4:7">
      <c r="D170" s="244"/>
      <c r="E170" s="244"/>
      <c r="F170" s="245"/>
      <c r="G170" s="246"/>
    </row>
    <row r="171" spans="4:7">
      <c r="D171" s="244"/>
      <c r="E171" s="244"/>
      <c r="F171" s="245"/>
      <c r="G171" s="246"/>
    </row>
    <row r="172" spans="4:7">
      <c r="D172" s="244"/>
      <c r="E172" s="244"/>
      <c r="F172" s="245"/>
      <c r="G172" s="246"/>
    </row>
    <row r="173" spans="4:7">
      <c r="D173" s="244"/>
      <c r="E173" s="244"/>
      <c r="F173" s="245"/>
      <c r="G173" s="246"/>
    </row>
    <row r="174" spans="4:7">
      <c r="D174" s="244"/>
      <c r="E174" s="244"/>
      <c r="F174" s="245"/>
      <c r="G174" s="246"/>
    </row>
    <row r="175" spans="4:7">
      <c r="D175" s="244"/>
      <c r="E175" s="244"/>
      <c r="F175" s="245"/>
      <c r="G175" s="246"/>
    </row>
    <row r="176" spans="4:7">
      <c r="D176" s="244"/>
      <c r="E176" s="244"/>
      <c r="F176" s="245"/>
      <c r="G176" s="246"/>
    </row>
    <row r="177" spans="4:7">
      <c r="D177" s="244"/>
      <c r="E177" s="244"/>
      <c r="F177" s="245"/>
      <c r="G177" s="246"/>
    </row>
    <row r="178" spans="4:7">
      <c r="D178" s="244"/>
      <c r="E178" s="244"/>
      <c r="F178" s="245"/>
      <c r="G178" s="246"/>
    </row>
    <row r="179" spans="4:7">
      <c r="D179" s="244"/>
      <c r="E179" s="244"/>
      <c r="F179" s="245"/>
      <c r="G179" s="246"/>
    </row>
    <row r="180" spans="4:7">
      <c r="D180" s="244"/>
      <c r="E180" s="244"/>
      <c r="F180" s="245"/>
      <c r="G180" s="246"/>
    </row>
    <row r="181" spans="4:7">
      <c r="D181" s="244"/>
      <c r="E181" s="244"/>
      <c r="F181" s="245"/>
      <c r="G181" s="246"/>
    </row>
    <row r="182" spans="4:7">
      <c r="D182" s="244"/>
      <c r="E182" s="244"/>
      <c r="F182" s="245"/>
      <c r="G182" s="246"/>
    </row>
    <row r="183" spans="4:7">
      <c r="D183" s="244"/>
      <c r="E183" s="244"/>
      <c r="F183" s="245"/>
      <c r="G183" s="246"/>
    </row>
    <row r="184" spans="4:7">
      <c r="D184" s="244"/>
      <c r="E184" s="244"/>
      <c r="F184" s="245"/>
      <c r="G184" s="246"/>
    </row>
    <row r="185" spans="4:7">
      <c r="D185" s="244"/>
      <c r="E185" s="244"/>
      <c r="F185" s="245"/>
      <c r="G185" s="246"/>
    </row>
    <row r="186" spans="4:7">
      <c r="D186" s="244"/>
      <c r="E186" s="244"/>
      <c r="F186" s="245"/>
      <c r="G186" s="246"/>
    </row>
    <row r="187" spans="4:7">
      <c r="D187" s="244"/>
      <c r="E187" s="244"/>
      <c r="F187" s="245"/>
      <c r="G187" s="246"/>
    </row>
    <row r="188" spans="4:7">
      <c r="D188" s="244"/>
      <c r="E188" s="244"/>
      <c r="F188" s="245"/>
      <c r="G188" s="246"/>
    </row>
    <row r="189" spans="4:7">
      <c r="D189" s="244"/>
      <c r="E189" s="244"/>
      <c r="F189" s="245"/>
      <c r="G189" s="246"/>
    </row>
    <row r="190" spans="4:7">
      <c r="D190" s="244"/>
      <c r="E190" s="244"/>
      <c r="F190" s="245"/>
      <c r="G190" s="246"/>
    </row>
    <row r="191" spans="4:7">
      <c r="D191" s="244"/>
      <c r="E191" s="244"/>
      <c r="F191" s="245"/>
      <c r="G191" s="246"/>
    </row>
    <row r="192" spans="4:7">
      <c r="D192" s="244"/>
      <c r="E192" s="244"/>
      <c r="F192" s="245"/>
      <c r="G192" s="246"/>
    </row>
    <row r="193" spans="4:7">
      <c r="D193" s="244"/>
      <c r="E193" s="244"/>
      <c r="F193" s="245"/>
      <c r="G193" s="246"/>
    </row>
    <row r="194" spans="4:7">
      <c r="D194" s="244"/>
      <c r="E194" s="244"/>
      <c r="F194" s="245"/>
      <c r="G194" s="246"/>
    </row>
    <row r="195" spans="4:7">
      <c r="D195" s="244"/>
      <c r="E195" s="244"/>
      <c r="F195" s="245"/>
      <c r="G195" s="246"/>
    </row>
    <row r="196" spans="4:7">
      <c r="D196" s="244"/>
      <c r="E196" s="244"/>
      <c r="F196" s="245"/>
      <c r="G196" s="246"/>
    </row>
    <row r="197" spans="4:7">
      <c r="D197" s="244"/>
      <c r="E197" s="244"/>
      <c r="F197" s="245"/>
      <c r="G197" s="246"/>
    </row>
    <row r="198" spans="4:7">
      <c r="D198" s="244"/>
      <c r="E198" s="244"/>
      <c r="F198" s="245"/>
      <c r="G198" s="246"/>
    </row>
    <row r="199" spans="4:7">
      <c r="D199" s="244"/>
      <c r="E199" s="244"/>
      <c r="F199" s="245"/>
      <c r="G199" s="246"/>
    </row>
    <row r="200" spans="4:7">
      <c r="D200" s="244"/>
      <c r="E200" s="244"/>
      <c r="F200" s="245"/>
      <c r="G200" s="246"/>
    </row>
    <row r="201" spans="4:7">
      <c r="D201" s="244"/>
      <c r="E201" s="244"/>
      <c r="F201" s="245"/>
      <c r="G201" s="246"/>
    </row>
    <row r="202" spans="4:7">
      <c r="D202" s="244"/>
      <c r="E202" s="244"/>
      <c r="F202" s="245"/>
      <c r="G202" s="246"/>
    </row>
    <row r="203" spans="4:7">
      <c r="D203" s="244"/>
      <c r="E203" s="244"/>
      <c r="F203" s="245"/>
      <c r="G203" s="246"/>
    </row>
    <row r="204" spans="4:7">
      <c r="D204" s="244"/>
      <c r="E204" s="244"/>
      <c r="F204" s="245"/>
      <c r="G204" s="246"/>
    </row>
    <row r="205" spans="4:7">
      <c r="D205" s="244"/>
      <c r="E205" s="244"/>
      <c r="F205" s="245"/>
      <c r="G205" s="246"/>
    </row>
    <row r="206" spans="4:7">
      <c r="D206" s="244"/>
      <c r="E206" s="244"/>
      <c r="F206" s="245"/>
      <c r="G206" s="246"/>
    </row>
    <row r="207" spans="4:7">
      <c r="D207" s="244"/>
      <c r="E207" s="244"/>
      <c r="F207" s="245"/>
      <c r="G207" s="246"/>
    </row>
    <row r="208" spans="4:7">
      <c r="D208" s="244"/>
      <c r="E208" s="244"/>
      <c r="F208" s="245"/>
      <c r="G208" s="246"/>
    </row>
    <row r="209" spans="4:7">
      <c r="D209" s="244"/>
      <c r="E209" s="244"/>
      <c r="F209" s="245"/>
      <c r="G209" s="246"/>
    </row>
    <row r="210" spans="4:7">
      <c r="D210" s="244"/>
      <c r="E210" s="244"/>
      <c r="F210" s="245"/>
      <c r="G210" s="246"/>
    </row>
    <row r="211" spans="4:7">
      <c r="D211" s="244"/>
      <c r="E211" s="244"/>
      <c r="F211" s="245"/>
      <c r="G211" s="246"/>
    </row>
    <row r="212" spans="4:7">
      <c r="D212" s="244"/>
      <c r="E212" s="244"/>
      <c r="F212" s="245"/>
      <c r="G212" s="246"/>
    </row>
    <row r="213" spans="4:7">
      <c r="D213" s="244"/>
      <c r="E213" s="244"/>
      <c r="F213" s="245"/>
      <c r="G213" s="246"/>
    </row>
    <row r="214" spans="4:7">
      <c r="D214" s="244"/>
      <c r="E214" s="244"/>
      <c r="F214" s="245"/>
      <c r="G214" s="246"/>
    </row>
    <row r="215" spans="4:7">
      <c r="D215" s="244"/>
      <c r="E215" s="244"/>
      <c r="F215" s="245"/>
      <c r="G215" s="246"/>
    </row>
    <row r="216" spans="4:7">
      <c r="D216" s="244"/>
      <c r="E216" s="244"/>
      <c r="F216" s="245"/>
      <c r="G216" s="246"/>
    </row>
    <row r="217" spans="4:7">
      <c r="D217" s="244"/>
      <c r="E217" s="244"/>
      <c r="F217" s="245"/>
      <c r="G217" s="246"/>
    </row>
    <row r="218" spans="4:7">
      <c r="D218" s="244"/>
      <c r="E218" s="244"/>
      <c r="F218" s="245"/>
      <c r="G218" s="246"/>
    </row>
    <row r="219" spans="4:7">
      <c r="D219" s="244"/>
      <c r="E219" s="244"/>
      <c r="F219" s="245"/>
      <c r="G219" s="246"/>
    </row>
    <row r="220" spans="4:7">
      <c r="D220" s="244"/>
      <c r="E220" s="244"/>
      <c r="F220" s="245"/>
      <c r="G220" s="246"/>
    </row>
    <row r="221" spans="4:7">
      <c r="D221" s="244"/>
      <c r="E221" s="244"/>
      <c r="F221" s="245"/>
      <c r="G221" s="246"/>
    </row>
    <row r="222" spans="4:7">
      <c r="D222" s="244"/>
      <c r="E222" s="244"/>
      <c r="F222" s="245"/>
      <c r="G222" s="246"/>
    </row>
    <row r="223" spans="4:7">
      <c r="D223" s="244"/>
      <c r="E223" s="244"/>
      <c r="F223" s="245"/>
      <c r="G223" s="246"/>
    </row>
    <row r="224" spans="4:7">
      <c r="D224" s="244"/>
      <c r="E224" s="244"/>
      <c r="F224" s="245"/>
      <c r="G224" s="246"/>
    </row>
    <row r="225" spans="4:7">
      <c r="D225" s="244"/>
      <c r="E225" s="244"/>
      <c r="F225" s="245"/>
      <c r="G225" s="246"/>
    </row>
    <row r="226" spans="4:7">
      <c r="D226" s="244"/>
      <c r="E226" s="244"/>
      <c r="F226" s="245"/>
      <c r="G226" s="246"/>
    </row>
    <row r="227" spans="4:7">
      <c r="D227" s="244"/>
      <c r="E227" s="244"/>
      <c r="F227" s="245"/>
      <c r="G227" s="246"/>
    </row>
    <row r="228" spans="4:7">
      <c r="D228" s="244"/>
      <c r="E228" s="244"/>
      <c r="F228" s="245"/>
      <c r="G228" s="246"/>
    </row>
    <row r="229" spans="4:7">
      <c r="D229" s="244"/>
      <c r="E229" s="244"/>
      <c r="F229" s="245"/>
      <c r="G229" s="246"/>
    </row>
    <row r="230" spans="4:7">
      <c r="D230" s="244"/>
      <c r="E230" s="244"/>
      <c r="F230" s="245"/>
      <c r="G230" s="246"/>
    </row>
    <row r="231" spans="4:7">
      <c r="D231" s="244"/>
      <c r="E231" s="244"/>
      <c r="F231" s="245"/>
      <c r="G231" s="246"/>
    </row>
    <row r="232" spans="4:7">
      <c r="D232" s="244"/>
      <c r="E232" s="244"/>
      <c r="F232" s="245"/>
      <c r="G232" s="246"/>
    </row>
    <row r="233" spans="4:7">
      <c r="D233" s="244"/>
      <c r="E233" s="244"/>
      <c r="F233" s="245"/>
      <c r="G233" s="246"/>
    </row>
    <row r="234" spans="4:7">
      <c r="D234" s="244"/>
      <c r="E234" s="244"/>
      <c r="F234" s="245"/>
      <c r="G234" s="246"/>
    </row>
    <row r="235" spans="4:7">
      <c r="D235" s="244"/>
      <c r="E235" s="244"/>
      <c r="F235" s="245"/>
      <c r="G235" s="246"/>
    </row>
    <row r="236" spans="4:7">
      <c r="D236" s="244"/>
      <c r="E236" s="244"/>
      <c r="F236" s="245"/>
      <c r="G236" s="246"/>
    </row>
    <row r="237" spans="4:7">
      <c r="D237" s="244"/>
      <c r="E237" s="244"/>
      <c r="F237" s="245"/>
      <c r="G237" s="246"/>
    </row>
    <row r="238" spans="4:7">
      <c r="D238" s="244"/>
      <c r="E238" s="244"/>
      <c r="F238" s="245"/>
      <c r="G238" s="246"/>
    </row>
    <row r="239" spans="4:7">
      <c r="D239" s="244"/>
      <c r="E239" s="244"/>
      <c r="F239" s="245"/>
      <c r="G239" s="246"/>
    </row>
    <row r="240" spans="4:7">
      <c r="D240" s="244"/>
      <c r="E240" s="244"/>
      <c r="F240" s="245"/>
      <c r="G240" s="246"/>
    </row>
    <row r="241" spans="4:7">
      <c r="D241" s="244"/>
      <c r="E241" s="244"/>
      <c r="F241" s="245"/>
      <c r="G241" s="246"/>
    </row>
    <row r="242" spans="4:7">
      <c r="D242" s="244"/>
      <c r="E242" s="244"/>
      <c r="F242" s="245"/>
      <c r="G242" s="246"/>
    </row>
    <row r="243" spans="4:7">
      <c r="D243" s="244"/>
      <c r="E243" s="244"/>
      <c r="F243" s="245"/>
      <c r="G243" s="246"/>
    </row>
    <row r="244" spans="4:7">
      <c r="D244" s="244"/>
      <c r="E244" s="244"/>
      <c r="F244" s="245"/>
      <c r="G244" s="246"/>
    </row>
    <row r="245" spans="4:7">
      <c r="D245" s="244"/>
      <c r="E245" s="244"/>
      <c r="F245" s="245"/>
      <c r="G245" s="246"/>
    </row>
    <row r="246" spans="4:7">
      <c r="D246" s="244"/>
      <c r="E246" s="244"/>
      <c r="F246" s="245"/>
      <c r="G246" s="246"/>
    </row>
    <row r="247" spans="4:7">
      <c r="D247" s="244"/>
      <c r="E247" s="244"/>
      <c r="F247" s="245"/>
      <c r="G247" s="246"/>
    </row>
    <row r="248" spans="4:7">
      <c r="D248" s="244"/>
      <c r="E248" s="244"/>
      <c r="F248" s="245"/>
      <c r="G248" s="246"/>
    </row>
    <row r="249" spans="4:7">
      <c r="D249" s="244"/>
      <c r="E249" s="244"/>
      <c r="F249" s="245"/>
      <c r="G249" s="246"/>
    </row>
    <row r="250" spans="4:7">
      <c r="D250" s="244"/>
      <c r="E250" s="244"/>
      <c r="F250" s="245"/>
      <c r="G250" s="246"/>
    </row>
    <row r="251" spans="4:7">
      <c r="D251" s="244"/>
      <c r="E251" s="244"/>
      <c r="F251" s="245"/>
      <c r="G251" s="246"/>
    </row>
    <row r="252" spans="4:7">
      <c r="D252" s="244"/>
      <c r="E252" s="244"/>
      <c r="F252" s="245"/>
      <c r="G252" s="246"/>
    </row>
    <row r="253" spans="4:7">
      <c r="D253" s="244"/>
      <c r="E253" s="244"/>
      <c r="F253" s="245"/>
      <c r="G253" s="246"/>
    </row>
    <row r="254" spans="4:7">
      <c r="D254" s="244"/>
      <c r="E254" s="244"/>
      <c r="F254" s="245"/>
      <c r="G254" s="246"/>
    </row>
    <row r="255" spans="4:7">
      <c r="D255" s="244"/>
      <c r="E255" s="244"/>
      <c r="F255" s="245"/>
      <c r="G255" s="246"/>
    </row>
    <row r="256" spans="4:7">
      <c r="D256" s="244"/>
      <c r="E256" s="244"/>
      <c r="F256" s="245"/>
      <c r="G256" s="246"/>
    </row>
    <row r="257" spans="4:7">
      <c r="D257" s="244"/>
      <c r="E257" s="244"/>
      <c r="F257" s="245"/>
      <c r="G257" s="246"/>
    </row>
    <row r="258" spans="4:7">
      <c r="D258" s="244"/>
      <c r="E258" s="244"/>
      <c r="F258" s="245"/>
      <c r="G258" s="246"/>
    </row>
    <row r="259" spans="4:7">
      <c r="D259" s="244"/>
      <c r="E259" s="244"/>
      <c r="F259" s="245"/>
      <c r="G259" s="246"/>
    </row>
    <row r="260" spans="4:7">
      <c r="D260" s="244"/>
      <c r="E260" s="244"/>
      <c r="F260" s="245"/>
      <c r="G260" s="246"/>
    </row>
    <row r="261" spans="4:7">
      <c r="D261" s="244"/>
      <c r="E261" s="244"/>
      <c r="F261" s="245"/>
      <c r="G261" s="246"/>
    </row>
    <row r="262" spans="4:7">
      <c r="D262" s="244"/>
      <c r="E262" s="244"/>
      <c r="F262" s="245"/>
      <c r="G262" s="246"/>
    </row>
    <row r="263" spans="4:7">
      <c r="D263" s="244"/>
      <c r="E263" s="244"/>
      <c r="F263" s="245"/>
      <c r="G263" s="246"/>
    </row>
    <row r="264" spans="4:7">
      <c r="D264" s="244"/>
      <c r="E264" s="244"/>
      <c r="F264" s="245"/>
      <c r="G264" s="246"/>
    </row>
    <row r="265" spans="4:7">
      <c r="D265" s="244"/>
      <c r="E265" s="244"/>
      <c r="F265" s="245"/>
      <c r="G265" s="246"/>
    </row>
    <row r="266" spans="4:7">
      <c r="D266" s="244"/>
      <c r="E266" s="244"/>
      <c r="F266" s="245"/>
      <c r="G266" s="246"/>
    </row>
    <row r="267" spans="4:7">
      <c r="D267" s="244"/>
      <c r="E267" s="244"/>
      <c r="F267" s="245"/>
      <c r="G267" s="246"/>
    </row>
    <row r="268" spans="4:7">
      <c r="D268" s="244"/>
      <c r="E268" s="244"/>
      <c r="F268" s="245"/>
      <c r="G268" s="246"/>
    </row>
    <row r="269" spans="4:7">
      <c r="D269" s="244"/>
      <c r="E269" s="244"/>
      <c r="F269" s="245"/>
      <c r="G269" s="246"/>
    </row>
    <row r="270" spans="4:7">
      <c r="D270" s="244"/>
      <c r="E270" s="244"/>
      <c r="F270" s="245"/>
      <c r="G270" s="246"/>
    </row>
    <row r="271" spans="4:7">
      <c r="D271" s="244"/>
      <c r="E271" s="244"/>
      <c r="F271" s="245"/>
      <c r="G271" s="246"/>
    </row>
    <row r="272" spans="4:7">
      <c r="D272" s="244"/>
      <c r="E272" s="244"/>
      <c r="F272" s="245"/>
      <c r="G272" s="246"/>
    </row>
    <row r="273" spans="4:7">
      <c r="D273" s="244"/>
      <c r="E273" s="244"/>
      <c r="F273" s="245"/>
      <c r="G273" s="246"/>
    </row>
    <row r="274" spans="4:7">
      <c r="D274" s="244"/>
      <c r="E274" s="244"/>
      <c r="F274" s="245"/>
      <c r="G274" s="246"/>
    </row>
    <row r="275" spans="4:7">
      <c r="D275" s="244"/>
      <c r="E275" s="244"/>
      <c r="F275" s="245"/>
      <c r="G275" s="246"/>
    </row>
    <row r="276" spans="4:7">
      <c r="D276" s="244"/>
      <c r="E276" s="244"/>
      <c r="F276" s="245"/>
      <c r="G276" s="246"/>
    </row>
    <row r="277" spans="4:7">
      <c r="D277" s="244"/>
      <c r="E277" s="244"/>
      <c r="F277" s="245"/>
      <c r="G277" s="246"/>
    </row>
    <row r="278" spans="4:7">
      <c r="D278" s="244"/>
      <c r="E278" s="244"/>
      <c r="F278" s="245"/>
      <c r="G278" s="246"/>
    </row>
    <row r="279" spans="4:7">
      <c r="D279" s="244"/>
      <c r="E279" s="244"/>
      <c r="F279" s="245"/>
      <c r="G279" s="246"/>
    </row>
    <row r="280" spans="4:7">
      <c r="D280" s="244"/>
      <c r="E280" s="244"/>
      <c r="F280" s="245"/>
      <c r="G280" s="246"/>
    </row>
    <row r="281" spans="4:7">
      <c r="D281" s="244"/>
      <c r="E281" s="244"/>
      <c r="F281" s="245"/>
      <c r="G281" s="246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99"/>
  <sheetViews>
    <sheetView tabSelected="1" topLeftCell="A175" workbookViewId="0">
      <selection activeCell="G195" sqref="G195"/>
    </sheetView>
  </sheetViews>
  <sheetFormatPr defaultRowHeight="16.5"/>
  <sheetData>
    <row r="1" spans="1:43">
      <c r="A1" s="2" t="s">
        <v>679</v>
      </c>
      <c r="B1" s="229" t="s">
        <v>497</v>
      </c>
      <c r="C1" s="230" t="s">
        <v>498</v>
      </c>
      <c r="D1" s="231" t="s">
        <v>499</v>
      </c>
      <c r="E1" s="231" t="s">
        <v>500</v>
      </c>
      <c r="F1" s="231" t="s">
        <v>501</v>
      </c>
      <c r="G1" s="231" t="s">
        <v>502</v>
      </c>
      <c r="H1" s="231" t="s">
        <v>503</v>
      </c>
      <c r="I1" s="231" t="s">
        <v>504</v>
      </c>
      <c r="J1" s="231" t="s">
        <v>505</v>
      </c>
      <c r="K1" s="231" t="s">
        <v>506</v>
      </c>
      <c r="L1" s="231" t="s">
        <v>507</v>
      </c>
      <c r="M1" s="231" t="s">
        <v>508</v>
      </c>
      <c r="N1" s="232" t="s">
        <v>509</v>
      </c>
      <c r="O1" s="232" t="s">
        <v>510</v>
      </c>
      <c r="P1" s="232" t="s">
        <v>511</v>
      </c>
      <c r="Q1" s="231" t="s">
        <v>512</v>
      </c>
      <c r="R1" s="231" t="s">
        <v>513</v>
      </c>
      <c r="S1" s="231" t="s">
        <v>514</v>
      </c>
      <c r="T1" s="231" t="s">
        <v>515</v>
      </c>
      <c r="U1" s="231" t="s">
        <v>516</v>
      </c>
      <c r="V1" s="231" t="s">
        <v>517</v>
      </c>
      <c r="W1" s="231" t="s">
        <v>518</v>
      </c>
      <c r="X1" s="231" t="s">
        <v>519</v>
      </c>
      <c r="Y1" s="231" t="s">
        <v>520</v>
      </c>
      <c r="Z1" s="231" t="s">
        <v>521</v>
      </c>
      <c r="AA1" s="231" t="s">
        <v>522</v>
      </c>
      <c r="AB1" s="231" t="s">
        <v>523</v>
      </c>
      <c r="AC1" s="231" t="s">
        <v>524</v>
      </c>
      <c r="AD1" s="231" t="s">
        <v>525</v>
      </c>
      <c r="AE1" s="231" t="s">
        <v>526</v>
      </c>
      <c r="AF1" s="231" t="s">
        <v>527</v>
      </c>
      <c r="AG1" s="231" t="s">
        <v>528</v>
      </c>
      <c r="AH1" s="231" t="s">
        <v>529</v>
      </c>
      <c r="AI1" s="231" t="s">
        <v>530</v>
      </c>
      <c r="AJ1" s="231" t="s">
        <v>531</v>
      </c>
      <c r="AK1" s="231" t="s">
        <v>532</v>
      </c>
      <c r="AL1" s="231" t="s">
        <v>533</v>
      </c>
      <c r="AM1" s="231" t="s">
        <v>534</v>
      </c>
      <c r="AN1" s="231" t="s">
        <v>535</v>
      </c>
      <c r="AO1" s="231" t="s">
        <v>536</v>
      </c>
      <c r="AP1" s="231" t="s">
        <v>537</v>
      </c>
      <c r="AQ1" s="231" t="s">
        <v>538</v>
      </c>
    </row>
    <row r="2" spans="1:43">
      <c r="A2" s="233" t="s">
        <v>539</v>
      </c>
      <c r="B2" s="233" t="s">
        <v>540</v>
      </c>
      <c r="C2" s="234">
        <v>13</v>
      </c>
      <c r="D2" s="233"/>
      <c r="F2" s="234"/>
      <c r="G2" s="233"/>
      <c r="H2" s="234"/>
      <c r="I2" s="233"/>
      <c r="J2">
        <v>10</v>
      </c>
      <c r="N2" s="235"/>
      <c r="O2" s="236"/>
      <c r="P2" s="237"/>
      <c r="AA2" s="234"/>
      <c r="AB2" s="233"/>
      <c r="AM2" s="234"/>
      <c r="AN2" s="233"/>
    </row>
    <row r="3" spans="1:43">
      <c r="A3" s="233" t="s">
        <v>541</v>
      </c>
      <c r="B3" s="233" t="s">
        <v>542</v>
      </c>
      <c r="C3" s="234">
        <v>36</v>
      </c>
      <c r="D3" s="233"/>
      <c r="F3" s="234"/>
      <c r="G3" s="233">
        <v>34</v>
      </c>
      <c r="H3" s="234"/>
      <c r="I3" s="233"/>
      <c r="J3">
        <v>29</v>
      </c>
      <c r="N3" s="235"/>
      <c r="O3" s="236"/>
      <c r="P3" s="237"/>
      <c r="AA3" s="234"/>
      <c r="AB3" s="233"/>
      <c r="AM3" s="234"/>
      <c r="AN3" s="233"/>
    </row>
    <row r="4" spans="1:43">
      <c r="A4" s="233" t="s">
        <v>543</v>
      </c>
      <c r="B4" s="233" t="s">
        <v>544</v>
      </c>
      <c r="C4" s="234"/>
      <c r="D4" s="233">
        <v>22</v>
      </c>
      <c r="F4" s="234"/>
      <c r="G4" s="233"/>
      <c r="H4" s="234"/>
      <c r="I4" s="233"/>
      <c r="N4" s="235"/>
      <c r="O4" s="236"/>
      <c r="P4" s="237"/>
      <c r="AA4" s="234"/>
      <c r="AB4" s="233"/>
      <c r="AM4" s="234"/>
      <c r="AN4" s="233"/>
    </row>
    <row r="5" spans="1:43">
      <c r="A5" s="233" t="s">
        <v>545</v>
      </c>
      <c r="B5" s="233" t="s">
        <v>540</v>
      </c>
      <c r="C5" s="234"/>
      <c r="D5" s="233"/>
      <c r="E5">
        <v>12</v>
      </c>
      <c r="F5" s="234"/>
      <c r="G5" s="233"/>
      <c r="H5" s="234"/>
      <c r="I5" s="233"/>
      <c r="N5" s="235"/>
      <c r="O5" s="236"/>
      <c r="P5" s="237"/>
      <c r="AA5" s="234"/>
      <c r="AB5" s="233"/>
      <c r="AM5" s="234"/>
      <c r="AN5" s="233"/>
    </row>
    <row r="6" spans="1:43">
      <c r="A6" s="233" t="s">
        <v>33</v>
      </c>
      <c r="B6" s="233" t="s">
        <v>540</v>
      </c>
      <c r="C6" s="234">
        <v>34</v>
      </c>
      <c r="D6" s="233"/>
      <c r="F6" s="234"/>
      <c r="G6" s="233">
        <v>28</v>
      </c>
      <c r="H6" s="234"/>
      <c r="I6" s="233"/>
      <c r="J6">
        <v>26</v>
      </c>
      <c r="N6" s="235"/>
      <c r="O6" s="236"/>
      <c r="P6" s="237"/>
      <c r="R6">
        <v>22</v>
      </c>
      <c r="AA6" s="234"/>
      <c r="AB6" s="233"/>
      <c r="AC6">
        <v>4</v>
      </c>
      <c r="AM6" s="234"/>
      <c r="AN6" s="233">
        <v>1</v>
      </c>
    </row>
    <row r="7" spans="1:43">
      <c r="A7" s="233" t="s">
        <v>546</v>
      </c>
      <c r="B7" s="233" t="s">
        <v>540</v>
      </c>
      <c r="C7" s="234">
        <v>18</v>
      </c>
      <c r="D7" s="233"/>
      <c r="F7" s="234"/>
      <c r="G7" s="233"/>
      <c r="H7" s="234"/>
      <c r="I7" s="233"/>
      <c r="K7">
        <v>12</v>
      </c>
      <c r="N7" s="235"/>
      <c r="O7" s="236"/>
      <c r="P7" s="237">
        <v>11</v>
      </c>
      <c r="AA7" s="234"/>
      <c r="AB7" s="233">
        <v>5</v>
      </c>
      <c r="AM7" s="234"/>
      <c r="AN7" s="233">
        <v>3</v>
      </c>
    </row>
    <row r="8" spans="1:43">
      <c r="A8" s="233" t="s">
        <v>547</v>
      </c>
      <c r="B8" s="233" t="s">
        <v>542</v>
      </c>
      <c r="C8" s="234">
        <v>6</v>
      </c>
      <c r="D8" s="233"/>
      <c r="F8" s="234">
        <v>6</v>
      </c>
      <c r="G8" s="233"/>
      <c r="H8" s="234"/>
      <c r="I8" s="233"/>
      <c r="L8">
        <v>4</v>
      </c>
      <c r="N8" s="235"/>
      <c r="O8" s="236"/>
      <c r="P8" s="237">
        <v>3</v>
      </c>
      <c r="AA8" s="234"/>
      <c r="AB8" s="233"/>
      <c r="AC8">
        <v>2</v>
      </c>
      <c r="AM8" s="234"/>
      <c r="AN8" s="233"/>
    </row>
    <row r="9" spans="1:43">
      <c r="A9" s="233" t="s">
        <v>548</v>
      </c>
      <c r="B9" s="233" t="s">
        <v>540</v>
      </c>
      <c r="C9" s="234">
        <v>23</v>
      </c>
      <c r="D9" s="233"/>
      <c r="F9" s="234"/>
      <c r="G9" s="233"/>
      <c r="H9" s="234"/>
      <c r="I9" s="233"/>
      <c r="J9">
        <v>17</v>
      </c>
      <c r="N9" s="235"/>
      <c r="O9" s="236"/>
      <c r="P9" s="237">
        <v>3</v>
      </c>
      <c r="AA9" s="234"/>
      <c r="AB9" s="233"/>
      <c r="AC9">
        <v>0</v>
      </c>
      <c r="AM9" s="234"/>
      <c r="AN9" s="233">
        <v>0</v>
      </c>
    </row>
    <row r="10" spans="1:43">
      <c r="A10" s="233" t="s">
        <v>82</v>
      </c>
      <c r="B10" s="233" t="s">
        <v>540</v>
      </c>
      <c r="C10" s="234">
        <v>29</v>
      </c>
      <c r="D10" s="233"/>
      <c r="F10" s="234">
        <v>25</v>
      </c>
      <c r="G10" s="233"/>
      <c r="H10" s="234">
        <v>25</v>
      </c>
      <c r="I10" s="233"/>
      <c r="N10" s="235"/>
      <c r="O10" s="236"/>
      <c r="P10" s="237">
        <v>21</v>
      </c>
      <c r="AA10" s="234">
        <v>18</v>
      </c>
      <c r="AB10" s="233"/>
      <c r="AM10" s="234">
        <v>18</v>
      </c>
      <c r="AN10" s="233"/>
    </row>
    <row r="11" spans="1:43">
      <c r="A11" s="233" t="s">
        <v>549</v>
      </c>
      <c r="B11" s="233" t="s">
        <v>540</v>
      </c>
      <c r="C11" s="234">
        <v>15</v>
      </c>
      <c r="D11" s="233"/>
      <c r="F11" s="234">
        <v>17</v>
      </c>
      <c r="G11" s="233"/>
      <c r="H11" s="234"/>
      <c r="I11" s="233"/>
      <c r="J11">
        <v>11</v>
      </c>
      <c r="N11" s="235"/>
      <c r="O11" s="236">
        <v>9</v>
      </c>
      <c r="P11" s="237"/>
      <c r="AA11" s="234"/>
      <c r="AB11" s="233"/>
      <c r="AM11" s="234"/>
      <c r="AN11" s="233"/>
    </row>
    <row r="12" spans="1:43">
      <c r="A12" s="233" t="s">
        <v>550</v>
      </c>
      <c r="B12" s="233" t="s">
        <v>540</v>
      </c>
      <c r="C12" s="234">
        <v>39</v>
      </c>
      <c r="D12" s="233"/>
      <c r="F12" s="234"/>
      <c r="G12" s="233"/>
      <c r="H12" s="234">
        <v>35</v>
      </c>
      <c r="I12" s="233"/>
      <c r="N12" s="235"/>
      <c r="O12" s="236"/>
      <c r="P12" s="237">
        <v>25</v>
      </c>
      <c r="AA12" s="234"/>
      <c r="AB12" s="233"/>
      <c r="AM12" s="234"/>
      <c r="AN12" s="233">
        <v>2</v>
      </c>
    </row>
    <row r="13" spans="1:43">
      <c r="A13" s="233" t="s">
        <v>551</v>
      </c>
      <c r="B13" s="233" t="s">
        <v>540</v>
      </c>
      <c r="C13" s="234">
        <v>17</v>
      </c>
      <c r="D13" s="233"/>
      <c r="E13">
        <v>17</v>
      </c>
      <c r="F13" s="234"/>
      <c r="G13" s="233"/>
      <c r="H13" s="234"/>
      <c r="I13" s="233"/>
      <c r="N13" s="235"/>
      <c r="O13" s="236">
        <v>8</v>
      </c>
      <c r="P13" s="237"/>
      <c r="AA13" s="234"/>
      <c r="AB13" s="233"/>
      <c r="AM13" s="234"/>
      <c r="AN13" s="233"/>
    </row>
    <row r="14" spans="1:43">
      <c r="A14" s="233" t="s">
        <v>57</v>
      </c>
      <c r="B14" s="233" t="s">
        <v>540</v>
      </c>
      <c r="C14" s="234">
        <v>30</v>
      </c>
      <c r="D14" s="233"/>
      <c r="E14">
        <v>29</v>
      </c>
      <c r="F14" s="234"/>
      <c r="G14" s="233"/>
      <c r="H14" s="234"/>
      <c r="I14" s="233">
        <v>21</v>
      </c>
      <c r="K14">
        <v>18</v>
      </c>
      <c r="M14">
        <v>16</v>
      </c>
      <c r="N14" s="235"/>
      <c r="O14" s="236"/>
      <c r="P14" s="237"/>
      <c r="Q14">
        <v>6</v>
      </c>
      <c r="AA14" s="234"/>
      <c r="AB14" s="233"/>
      <c r="AM14" s="234"/>
      <c r="AN14" s="233"/>
    </row>
    <row r="15" spans="1:43">
      <c r="A15" s="233" t="s">
        <v>30</v>
      </c>
      <c r="B15" s="233" t="s">
        <v>540</v>
      </c>
      <c r="C15" s="234">
        <v>36</v>
      </c>
      <c r="D15" s="233"/>
      <c r="F15" s="234">
        <v>34</v>
      </c>
      <c r="G15" s="233"/>
      <c r="H15" s="234"/>
      <c r="I15" s="233"/>
      <c r="J15">
        <v>31</v>
      </c>
      <c r="N15" s="235"/>
      <c r="O15" s="236"/>
      <c r="P15" s="237">
        <v>26</v>
      </c>
      <c r="AA15" s="234">
        <v>22</v>
      </c>
      <c r="AB15" s="233"/>
      <c r="AM15" s="234"/>
      <c r="AN15" s="233"/>
    </row>
    <row r="16" spans="1:43">
      <c r="A16" s="233" t="s">
        <v>552</v>
      </c>
      <c r="B16" s="233" t="s">
        <v>540</v>
      </c>
      <c r="C16" s="234">
        <v>16</v>
      </c>
      <c r="D16" s="233"/>
      <c r="F16" s="234">
        <v>16</v>
      </c>
      <c r="G16" s="233">
        <v>15</v>
      </c>
      <c r="H16" s="234"/>
      <c r="I16" s="233"/>
      <c r="N16" s="235"/>
      <c r="O16" s="236"/>
      <c r="P16" s="237"/>
      <c r="AA16" s="234"/>
      <c r="AB16" s="233"/>
      <c r="AM16" s="234"/>
      <c r="AN16" s="233"/>
    </row>
    <row r="17" spans="1:40">
      <c r="A17" s="233" t="s">
        <v>553</v>
      </c>
      <c r="B17" s="233" t="s">
        <v>540</v>
      </c>
      <c r="C17" s="234">
        <v>19</v>
      </c>
      <c r="D17" s="233"/>
      <c r="E17">
        <v>18</v>
      </c>
      <c r="F17" s="234"/>
      <c r="G17" s="233"/>
      <c r="H17" s="234"/>
      <c r="I17" s="233"/>
      <c r="N17" s="235"/>
      <c r="O17" s="236"/>
      <c r="P17" s="237">
        <v>3</v>
      </c>
      <c r="AA17" s="234"/>
      <c r="AB17" s="233"/>
      <c r="AM17" s="234"/>
      <c r="AN17" s="233"/>
    </row>
    <row r="18" spans="1:40">
      <c r="A18" s="233" t="s">
        <v>554</v>
      </c>
      <c r="B18" s="233" t="s">
        <v>540</v>
      </c>
      <c r="C18" s="234">
        <v>20</v>
      </c>
      <c r="D18" s="233"/>
      <c r="F18" s="234">
        <v>28</v>
      </c>
      <c r="G18" s="233"/>
      <c r="H18" s="234"/>
      <c r="I18" s="233"/>
      <c r="J18">
        <v>22</v>
      </c>
      <c r="N18" s="235"/>
      <c r="O18" s="236"/>
      <c r="P18" s="237">
        <v>20</v>
      </c>
      <c r="U18">
        <v>16</v>
      </c>
      <c r="AA18" s="234"/>
      <c r="AB18" s="233"/>
      <c r="AM18" s="234"/>
      <c r="AN18" s="233"/>
    </row>
    <row r="19" spans="1:40">
      <c r="A19" s="233" t="s">
        <v>555</v>
      </c>
      <c r="B19" s="233" t="s">
        <v>542</v>
      </c>
      <c r="C19" s="234">
        <v>25</v>
      </c>
      <c r="D19" s="233"/>
      <c r="F19" s="234"/>
      <c r="G19" s="233">
        <v>24</v>
      </c>
      <c r="H19" s="234"/>
      <c r="I19" s="233"/>
      <c r="J19">
        <v>24</v>
      </c>
      <c r="N19" s="235"/>
      <c r="O19" s="236"/>
      <c r="P19" s="237"/>
      <c r="Q19">
        <v>23</v>
      </c>
      <c r="AA19" s="234">
        <v>17</v>
      </c>
      <c r="AB19" s="233"/>
      <c r="AM19" s="234"/>
      <c r="AN19" s="233">
        <v>6</v>
      </c>
    </row>
    <row r="20" spans="1:40">
      <c r="A20" s="233" t="s">
        <v>46</v>
      </c>
      <c r="B20" s="233" t="s">
        <v>540</v>
      </c>
      <c r="C20" s="234">
        <v>37</v>
      </c>
      <c r="D20" s="233"/>
      <c r="F20" s="234">
        <v>37</v>
      </c>
      <c r="G20" s="233"/>
      <c r="H20" s="234"/>
      <c r="I20" s="233">
        <v>16</v>
      </c>
      <c r="N20" s="235"/>
      <c r="O20" s="236"/>
      <c r="P20" s="237">
        <v>13</v>
      </c>
      <c r="AA20" s="234"/>
      <c r="AB20" s="233"/>
      <c r="AM20" s="234"/>
      <c r="AN20" s="233"/>
    </row>
    <row r="21" spans="1:40">
      <c r="A21" s="233" t="s">
        <v>556</v>
      </c>
      <c r="B21" s="233" t="s">
        <v>540</v>
      </c>
      <c r="C21" s="234">
        <v>22</v>
      </c>
      <c r="D21" s="233"/>
      <c r="F21" s="234">
        <v>21</v>
      </c>
      <c r="G21" s="233"/>
      <c r="H21" s="234"/>
      <c r="I21" s="233"/>
      <c r="N21" s="235"/>
      <c r="O21" s="236"/>
      <c r="P21" s="237"/>
      <c r="AA21" s="234"/>
      <c r="AB21" s="233"/>
      <c r="AM21" s="234"/>
      <c r="AN21" s="233"/>
    </row>
    <row r="22" spans="1:40">
      <c r="A22" s="233" t="s">
        <v>5</v>
      </c>
      <c r="B22" s="233" t="s">
        <v>540</v>
      </c>
      <c r="C22" s="234">
        <v>34</v>
      </c>
      <c r="D22" s="233"/>
      <c r="F22" s="234"/>
      <c r="G22" s="233">
        <v>33</v>
      </c>
      <c r="H22" s="234"/>
      <c r="I22" s="233"/>
      <c r="K22">
        <v>33</v>
      </c>
      <c r="N22" s="235"/>
      <c r="O22" s="236">
        <v>33</v>
      </c>
      <c r="P22" s="237">
        <v>31</v>
      </c>
      <c r="AA22" s="234"/>
      <c r="AB22" s="233">
        <v>19</v>
      </c>
      <c r="AD22">
        <v>14</v>
      </c>
      <c r="AM22" s="234">
        <v>9</v>
      </c>
      <c r="AN22" s="233"/>
    </row>
    <row r="23" spans="1:40">
      <c r="A23" s="233" t="s">
        <v>3</v>
      </c>
      <c r="B23" s="233" t="s">
        <v>540</v>
      </c>
      <c r="C23" s="234">
        <v>26</v>
      </c>
      <c r="D23" s="233"/>
      <c r="F23" s="234">
        <v>25</v>
      </c>
      <c r="G23" s="233">
        <v>25</v>
      </c>
      <c r="H23" s="234"/>
      <c r="I23" s="233"/>
      <c r="K23">
        <v>25</v>
      </c>
      <c r="N23" s="235">
        <v>25</v>
      </c>
      <c r="O23" s="236"/>
      <c r="P23" s="237">
        <v>25</v>
      </c>
      <c r="S23">
        <v>25</v>
      </c>
      <c r="AA23" s="234">
        <v>23</v>
      </c>
      <c r="AB23" s="233"/>
      <c r="AL23">
        <v>19</v>
      </c>
      <c r="AM23" s="234"/>
      <c r="AN23" s="233">
        <v>19</v>
      </c>
    </row>
    <row r="24" spans="1:40">
      <c r="A24" s="233" t="s">
        <v>557</v>
      </c>
      <c r="B24" s="233" t="s">
        <v>542</v>
      </c>
      <c r="C24" s="234">
        <v>6</v>
      </c>
      <c r="D24" s="233"/>
      <c r="F24" s="234">
        <v>6</v>
      </c>
      <c r="G24" s="233"/>
      <c r="H24" s="234"/>
      <c r="I24" s="233"/>
      <c r="N24" s="235"/>
      <c r="O24" s="236"/>
      <c r="P24" s="237"/>
      <c r="AA24" s="234">
        <v>1</v>
      </c>
      <c r="AB24" s="233"/>
      <c r="AM24" s="234"/>
      <c r="AN24" s="233"/>
    </row>
    <row r="25" spans="1:40">
      <c r="A25" s="233" t="s">
        <v>558</v>
      </c>
      <c r="B25" s="233" t="s">
        <v>542</v>
      </c>
      <c r="C25" s="234">
        <v>19</v>
      </c>
      <c r="D25" s="233"/>
      <c r="F25" s="234"/>
      <c r="G25" s="233"/>
      <c r="H25" s="234">
        <v>20</v>
      </c>
      <c r="I25" s="233"/>
      <c r="J25">
        <v>20</v>
      </c>
      <c r="N25" s="235">
        <v>19</v>
      </c>
      <c r="O25" s="236"/>
      <c r="P25" s="237"/>
      <c r="Q25">
        <v>19</v>
      </c>
      <c r="AA25" s="234">
        <v>19</v>
      </c>
      <c r="AB25" s="233"/>
      <c r="AD25">
        <v>19</v>
      </c>
      <c r="AJ25">
        <v>17</v>
      </c>
      <c r="AM25" s="234"/>
      <c r="AN25" s="233">
        <v>17</v>
      </c>
    </row>
    <row r="26" spans="1:40">
      <c r="A26" s="233" t="s">
        <v>559</v>
      </c>
      <c r="B26" s="233" t="s">
        <v>542</v>
      </c>
      <c r="C26" s="234">
        <v>24</v>
      </c>
      <c r="D26" s="233"/>
      <c r="E26">
        <v>23</v>
      </c>
      <c r="F26" s="234"/>
      <c r="G26" s="233"/>
      <c r="H26" s="234">
        <v>15</v>
      </c>
      <c r="I26" s="233"/>
      <c r="N26" s="235"/>
      <c r="O26" s="236"/>
      <c r="P26" s="237">
        <v>14</v>
      </c>
      <c r="T26">
        <v>10</v>
      </c>
      <c r="Y26">
        <v>9</v>
      </c>
      <c r="AA26" s="234"/>
      <c r="AB26" s="233"/>
      <c r="AM26" s="234"/>
      <c r="AN26" s="233">
        <v>11</v>
      </c>
    </row>
    <row r="27" spans="1:40">
      <c r="A27" s="233" t="s">
        <v>560</v>
      </c>
      <c r="B27" s="233" t="s">
        <v>542</v>
      </c>
      <c r="C27" s="234">
        <v>5</v>
      </c>
      <c r="D27" s="233"/>
      <c r="F27" s="234"/>
      <c r="G27" s="233"/>
      <c r="H27" s="234"/>
      <c r="I27" s="233"/>
      <c r="K27">
        <v>3</v>
      </c>
      <c r="N27" s="235">
        <v>2</v>
      </c>
      <c r="O27" s="236"/>
      <c r="P27" s="237"/>
      <c r="X27">
        <v>1</v>
      </c>
      <c r="AA27" s="234"/>
      <c r="AB27" s="233">
        <v>1</v>
      </c>
      <c r="AM27" s="234"/>
      <c r="AN27" s="233"/>
    </row>
    <row r="28" spans="1:40">
      <c r="A28" s="233" t="s">
        <v>561</v>
      </c>
      <c r="B28" s="233" t="s">
        <v>540</v>
      </c>
      <c r="C28" s="234">
        <v>23</v>
      </c>
      <c r="D28" s="233"/>
      <c r="F28" s="234"/>
      <c r="G28" s="233">
        <v>23</v>
      </c>
      <c r="H28" s="234"/>
      <c r="I28" s="233"/>
      <c r="K28">
        <v>22</v>
      </c>
      <c r="N28" s="235"/>
      <c r="O28" s="236"/>
      <c r="P28" s="237"/>
      <c r="AA28" s="234"/>
      <c r="AB28" s="233"/>
      <c r="AM28" s="234"/>
      <c r="AN28" s="233"/>
    </row>
    <row r="29" spans="1:40">
      <c r="A29" s="233" t="s">
        <v>562</v>
      </c>
      <c r="B29" s="233" t="s">
        <v>540</v>
      </c>
      <c r="C29" s="234">
        <v>16</v>
      </c>
      <c r="D29" s="233"/>
      <c r="E29">
        <v>15</v>
      </c>
      <c r="F29" s="234"/>
      <c r="G29" s="233"/>
      <c r="H29" s="234"/>
      <c r="I29" s="233"/>
      <c r="K29">
        <v>15</v>
      </c>
      <c r="N29" s="235"/>
      <c r="O29" s="236"/>
      <c r="P29" s="237"/>
      <c r="S29">
        <v>15</v>
      </c>
      <c r="AA29" s="234">
        <v>14</v>
      </c>
      <c r="AB29" s="233"/>
      <c r="AM29" s="234"/>
      <c r="AN29" s="233">
        <v>13</v>
      </c>
    </row>
    <row r="30" spans="1:40">
      <c r="A30" s="233" t="s">
        <v>54</v>
      </c>
      <c r="B30" s="233" t="s">
        <v>540</v>
      </c>
      <c r="C30" s="234">
        <v>37</v>
      </c>
      <c r="D30" s="233"/>
      <c r="E30">
        <v>35</v>
      </c>
      <c r="F30" s="234"/>
      <c r="G30" s="233"/>
      <c r="H30" s="234">
        <v>35</v>
      </c>
      <c r="I30" s="233"/>
      <c r="N30" s="235"/>
      <c r="O30" s="236"/>
      <c r="P30" s="237"/>
      <c r="R30">
        <v>27</v>
      </c>
      <c r="X30">
        <v>22</v>
      </c>
      <c r="AA30" s="234">
        <v>19</v>
      </c>
      <c r="AB30" s="233"/>
      <c r="AM30" s="234"/>
      <c r="AN30" s="233">
        <v>13</v>
      </c>
    </row>
    <row r="31" spans="1:40">
      <c r="A31" s="233" t="s">
        <v>563</v>
      </c>
      <c r="B31" s="233" t="s">
        <v>540</v>
      </c>
      <c r="C31" s="234">
        <v>21</v>
      </c>
      <c r="D31" s="233"/>
      <c r="F31" s="234"/>
      <c r="G31" s="233"/>
      <c r="H31" s="234"/>
      <c r="I31" s="233">
        <v>8</v>
      </c>
      <c r="N31" s="235"/>
      <c r="O31" s="236"/>
      <c r="P31" s="237"/>
      <c r="AA31" s="234"/>
      <c r="AB31" s="233"/>
      <c r="AM31" s="234"/>
      <c r="AN31" s="233"/>
    </row>
    <row r="32" spans="1:40">
      <c r="A32" s="233" t="s">
        <v>564</v>
      </c>
      <c r="B32" s="233" t="s">
        <v>540</v>
      </c>
      <c r="C32" s="234">
        <v>34</v>
      </c>
      <c r="D32" s="233"/>
      <c r="F32" s="234"/>
      <c r="G32" s="233"/>
      <c r="H32" s="234"/>
      <c r="I32" s="233"/>
      <c r="N32" s="235"/>
      <c r="O32" s="236"/>
      <c r="P32" s="237"/>
      <c r="AA32" s="234"/>
      <c r="AB32" s="233"/>
      <c r="AM32" s="234"/>
      <c r="AN32" s="233"/>
    </row>
    <row r="33" spans="1:41">
      <c r="A33" s="233" t="s">
        <v>565</v>
      </c>
      <c r="B33" s="233" t="s">
        <v>540</v>
      </c>
      <c r="C33" s="234">
        <v>38</v>
      </c>
      <c r="D33" s="233"/>
      <c r="F33" s="234"/>
      <c r="G33" s="233"/>
      <c r="H33" s="234"/>
      <c r="I33" s="233"/>
      <c r="N33" s="235"/>
      <c r="O33" s="236"/>
      <c r="P33" s="237"/>
      <c r="AA33" s="234"/>
      <c r="AB33" s="233"/>
      <c r="AM33" s="234"/>
      <c r="AN33" s="233"/>
    </row>
    <row r="34" spans="1:41">
      <c r="A34" s="233" t="s">
        <v>566</v>
      </c>
      <c r="B34" s="233" t="s">
        <v>540</v>
      </c>
      <c r="C34" s="234">
        <v>23</v>
      </c>
      <c r="D34" s="233"/>
      <c r="F34" s="234"/>
      <c r="G34" s="233"/>
      <c r="H34" s="234"/>
      <c r="I34" s="233">
        <v>21</v>
      </c>
      <c r="K34">
        <v>21</v>
      </c>
      <c r="N34" s="235">
        <v>21</v>
      </c>
      <c r="O34" s="236"/>
      <c r="P34" s="237"/>
      <c r="U34">
        <v>13</v>
      </c>
      <c r="AA34" s="234"/>
      <c r="AB34" s="233"/>
      <c r="AM34" s="234"/>
      <c r="AN34" s="233"/>
      <c r="AO34">
        <v>10</v>
      </c>
    </row>
    <row r="35" spans="1:41">
      <c r="A35" s="233" t="s">
        <v>567</v>
      </c>
      <c r="B35" s="233" t="s">
        <v>542</v>
      </c>
      <c r="C35" s="234">
        <v>12</v>
      </c>
      <c r="D35" s="233"/>
      <c r="F35" s="234"/>
      <c r="G35" s="233"/>
      <c r="H35" s="234"/>
      <c r="I35" s="233">
        <v>11</v>
      </c>
      <c r="K35">
        <v>9</v>
      </c>
      <c r="N35" s="235"/>
      <c r="O35" s="236"/>
      <c r="P35" s="237">
        <v>9</v>
      </c>
      <c r="AA35" s="234"/>
      <c r="AB35" s="233">
        <v>9</v>
      </c>
      <c r="AK35">
        <v>9</v>
      </c>
      <c r="AM35" s="234">
        <v>9</v>
      </c>
      <c r="AN35" s="233"/>
    </row>
    <row r="36" spans="1:41">
      <c r="A36" s="233" t="s">
        <v>568</v>
      </c>
      <c r="B36" s="233" t="s">
        <v>540</v>
      </c>
      <c r="C36" s="234">
        <v>14</v>
      </c>
      <c r="D36" s="233"/>
      <c r="F36" s="234"/>
      <c r="G36" s="233"/>
      <c r="H36" s="234">
        <v>13</v>
      </c>
      <c r="I36" s="233"/>
      <c r="N36" s="235"/>
      <c r="O36" s="236">
        <v>0</v>
      </c>
      <c r="P36" s="237"/>
      <c r="AA36" s="234"/>
      <c r="AB36" s="233"/>
      <c r="AM36" s="234"/>
      <c r="AN36" s="233">
        <v>0</v>
      </c>
    </row>
    <row r="37" spans="1:41">
      <c r="A37" s="233" t="s">
        <v>569</v>
      </c>
      <c r="B37" s="233" t="s">
        <v>540</v>
      </c>
      <c r="C37" s="234"/>
      <c r="D37" s="233"/>
      <c r="F37" s="234"/>
      <c r="G37" s="233"/>
      <c r="H37" s="234"/>
      <c r="I37" s="233"/>
      <c r="N37" s="235"/>
      <c r="O37" s="236"/>
      <c r="P37" s="237"/>
      <c r="AA37" s="234"/>
      <c r="AB37" s="233"/>
      <c r="AM37" s="234"/>
      <c r="AN37" s="233"/>
    </row>
    <row r="38" spans="1:41">
      <c r="A38" s="233" t="s">
        <v>7</v>
      </c>
      <c r="B38" s="233" t="s">
        <v>542</v>
      </c>
      <c r="C38" s="234">
        <v>39</v>
      </c>
      <c r="D38" s="233"/>
      <c r="F38" s="234"/>
      <c r="G38" s="233">
        <v>38</v>
      </c>
      <c r="H38" s="234"/>
      <c r="I38" s="233"/>
      <c r="K38">
        <v>35</v>
      </c>
      <c r="N38" s="235"/>
      <c r="O38" s="236"/>
      <c r="P38" s="237">
        <v>31</v>
      </c>
      <c r="AA38" s="234">
        <v>16</v>
      </c>
      <c r="AB38" s="233"/>
      <c r="AM38" s="234"/>
      <c r="AN38" s="233"/>
    </row>
    <row r="39" spans="1:41">
      <c r="A39" s="233" t="s">
        <v>42</v>
      </c>
      <c r="B39" s="233" t="s">
        <v>540</v>
      </c>
      <c r="C39" s="234">
        <v>39</v>
      </c>
      <c r="D39" s="233"/>
      <c r="F39" s="234"/>
      <c r="G39" s="233">
        <v>32</v>
      </c>
      <c r="H39" s="234"/>
      <c r="I39" s="233"/>
      <c r="K39">
        <v>25</v>
      </c>
      <c r="N39" s="235"/>
      <c r="O39" s="236">
        <v>20</v>
      </c>
      <c r="P39" s="237"/>
      <c r="AA39" s="234"/>
      <c r="AB39" s="233"/>
      <c r="AC39">
        <v>13</v>
      </c>
      <c r="AM39" s="234"/>
      <c r="AN39" s="233">
        <v>11</v>
      </c>
    </row>
    <row r="40" spans="1:41">
      <c r="A40" s="238" t="s">
        <v>570</v>
      </c>
      <c r="B40" s="233" t="s">
        <v>540</v>
      </c>
      <c r="C40">
        <v>17</v>
      </c>
      <c r="D40" s="233"/>
      <c r="F40" s="234">
        <v>14</v>
      </c>
      <c r="G40" s="233"/>
      <c r="H40" s="234"/>
      <c r="I40" s="233">
        <v>13</v>
      </c>
      <c r="N40" s="235"/>
      <c r="O40" s="236">
        <v>9</v>
      </c>
      <c r="P40" s="237"/>
      <c r="AA40" s="234"/>
      <c r="AB40" s="233"/>
      <c r="AM40" s="234"/>
      <c r="AN40" s="233"/>
    </row>
    <row r="41" spans="1:41">
      <c r="A41" s="233" t="s">
        <v>571</v>
      </c>
      <c r="B41" s="233" t="s">
        <v>540</v>
      </c>
      <c r="C41" s="234">
        <v>29</v>
      </c>
      <c r="D41" s="233"/>
      <c r="F41" s="234"/>
      <c r="G41" s="233"/>
      <c r="H41" s="234">
        <v>24</v>
      </c>
      <c r="I41" s="233"/>
      <c r="N41" s="235"/>
      <c r="O41" s="236"/>
      <c r="P41" s="237">
        <v>15</v>
      </c>
      <c r="AA41" s="234"/>
      <c r="AB41" s="233"/>
      <c r="AD41">
        <v>2</v>
      </c>
      <c r="AM41" s="234"/>
      <c r="AN41" s="233"/>
    </row>
    <row r="42" spans="1:41">
      <c r="A42" s="233" t="s">
        <v>572</v>
      </c>
      <c r="B42" s="233" t="s">
        <v>544</v>
      </c>
      <c r="C42" s="234">
        <v>17</v>
      </c>
      <c r="D42" s="233"/>
      <c r="F42" s="234"/>
      <c r="G42" s="233">
        <v>15</v>
      </c>
      <c r="H42" s="234"/>
      <c r="I42" s="233"/>
      <c r="K42">
        <v>15</v>
      </c>
      <c r="N42" s="235"/>
      <c r="O42" s="236"/>
      <c r="P42" s="237">
        <v>15</v>
      </c>
      <c r="AA42" s="234"/>
      <c r="AB42" s="233"/>
      <c r="AM42" s="234"/>
      <c r="AN42" s="233"/>
    </row>
    <row r="43" spans="1:41">
      <c r="A43" s="233" t="s">
        <v>573</v>
      </c>
      <c r="B43" s="233" t="s">
        <v>540</v>
      </c>
      <c r="C43" s="234">
        <v>23</v>
      </c>
      <c r="D43" s="233"/>
      <c r="F43" s="234"/>
      <c r="G43" s="233"/>
      <c r="H43" s="234"/>
      <c r="I43" s="233">
        <v>17</v>
      </c>
      <c r="N43" s="235"/>
      <c r="O43" s="236"/>
      <c r="P43" s="237">
        <v>16</v>
      </c>
      <c r="AA43" s="234"/>
      <c r="AB43" s="233"/>
      <c r="AM43" s="234"/>
      <c r="AN43" s="233">
        <v>1</v>
      </c>
    </row>
    <row r="44" spans="1:41">
      <c r="A44" s="233" t="s">
        <v>20</v>
      </c>
      <c r="B44" s="233" t="s">
        <v>574</v>
      </c>
      <c r="C44" s="234">
        <v>32</v>
      </c>
      <c r="D44" s="233"/>
      <c r="F44" s="234"/>
      <c r="G44" s="233">
        <v>32</v>
      </c>
      <c r="H44" s="234"/>
      <c r="I44" s="233"/>
      <c r="K44">
        <v>30</v>
      </c>
      <c r="N44" s="235"/>
      <c r="O44" s="236"/>
      <c r="P44" s="237">
        <v>29</v>
      </c>
      <c r="AA44" s="234">
        <v>22</v>
      </c>
      <c r="AB44" s="233"/>
      <c r="AM44" s="234"/>
      <c r="AN44" s="233"/>
    </row>
    <row r="45" spans="1:41">
      <c r="A45" s="233" t="s">
        <v>575</v>
      </c>
      <c r="B45" s="233" t="s">
        <v>542</v>
      </c>
      <c r="C45" s="234">
        <v>35</v>
      </c>
      <c r="D45" s="233"/>
      <c r="E45">
        <v>33</v>
      </c>
      <c r="F45" s="234"/>
      <c r="G45" s="233"/>
      <c r="H45" s="234"/>
      <c r="I45" s="233"/>
      <c r="J45">
        <v>23</v>
      </c>
      <c r="N45" s="235"/>
      <c r="O45" s="236"/>
      <c r="P45" s="237"/>
      <c r="AA45" s="234"/>
      <c r="AB45" s="233"/>
      <c r="AM45" s="234"/>
      <c r="AN45" s="233"/>
    </row>
    <row r="46" spans="1:41">
      <c r="A46" s="233" t="s">
        <v>55</v>
      </c>
      <c r="B46" s="233" t="s">
        <v>540</v>
      </c>
      <c r="C46" s="234">
        <v>33</v>
      </c>
      <c r="D46" s="233"/>
      <c r="F46" s="234"/>
      <c r="G46" s="233"/>
      <c r="H46" s="234">
        <v>26</v>
      </c>
      <c r="I46" s="233"/>
      <c r="N46" s="235"/>
      <c r="O46" s="236"/>
      <c r="P46" s="237"/>
      <c r="Q46">
        <v>25</v>
      </c>
      <c r="AA46" s="234"/>
      <c r="AB46" s="233">
        <v>20</v>
      </c>
      <c r="AM46" s="234">
        <v>17</v>
      </c>
      <c r="AN46" s="233"/>
    </row>
    <row r="47" spans="1:41">
      <c r="A47" s="233" t="s">
        <v>576</v>
      </c>
      <c r="B47" s="233" t="s">
        <v>540</v>
      </c>
      <c r="C47" s="234">
        <v>35</v>
      </c>
      <c r="D47" s="233"/>
      <c r="F47" s="234"/>
      <c r="G47" s="233"/>
      <c r="H47" s="234"/>
      <c r="I47" s="233"/>
      <c r="N47" s="235"/>
      <c r="O47" s="236"/>
      <c r="P47" s="237"/>
      <c r="AA47" s="234">
        <v>20</v>
      </c>
      <c r="AB47" s="233"/>
      <c r="AM47" s="234"/>
      <c r="AN47" s="233">
        <v>18</v>
      </c>
    </row>
    <row r="48" spans="1:41">
      <c r="A48" s="233" t="s">
        <v>21</v>
      </c>
      <c r="B48" s="233" t="s">
        <v>540</v>
      </c>
      <c r="C48" s="234">
        <v>35</v>
      </c>
      <c r="D48" s="233"/>
      <c r="F48" s="234">
        <v>36</v>
      </c>
      <c r="G48" s="233"/>
      <c r="H48" s="234"/>
      <c r="I48" s="233"/>
      <c r="J48">
        <v>36</v>
      </c>
      <c r="N48" s="235"/>
      <c r="O48" s="236"/>
      <c r="P48" s="237">
        <v>36</v>
      </c>
      <c r="AA48" s="234"/>
      <c r="AB48" s="233"/>
      <c r="AM48" s="234"/>
      <c r="AN48" s="233"/>
    </row>
    <row r="49" spans="1:41">
      <c r="A49" s="233" t="s">
        <v>577</v>
      </c>
      <c r="B49" s="233" t="s">
        <v>542</v>
      </c>
      <c r="C49" s="234">
        <v>39</v>
      </c>
      <c r="D49" s="233"/>
      <c r="F49" s="234"/>
      <c r="G49" s="233"/>
      <c r="H49" s="234"/>
      <c r="I49" s="233"/>
      <c r="J49">
        <v>22</v>
      </c>
      <c r="N49" s="235">
        <v>20</v>
      </c>
      <c r="O49" s="236"/>
      <c r="P49" s="237">
        <v>19</v>
      </c>
      <c r="AA49" s="234"/>
      <c r="AB49" s="233"/>
      <c r="AM49" s="234"/>
      <c r="AN49" s="233"/>
    </row>
    <row r="50" spans="1:41">
      <c r="A50" s="233" t="s">
        <v>578</v>
      </c>
      <c r="B50" s="233" t="s">
        <v>542</v>
      </c>
      <c r="C50" s="234"/>
      <c r="D50" s="233"/>
      <c r="F50" s="234"/>
      <c r="G50" s="233"/>
      <c r="H50" s="234"/>
      <c r="I50" s="233"/>
      <c r="N50" s="235"/>
      <c r="O50" s="236"/>
      <c r="P50" s="237"/>
      <c r="AA50" s="234"/>
      <c r="AB50" s="233"/>
      <c r="AM50" s="234"/>
      <c r="AN50" s="233"/>
    </row>
    <row r="51" spans="1:41">
      <c r="A51" s="233" t="s">
        <v>579</v>
      </c>
      <c r="B51" s="233" t="s">
        <v>540</v>
      </c>
      <c r="C51" s="234">
        <v>9</v>
      </c>
      <c r="D51" s="233"/>
      <c r="F51" s="234"/>
      <c r="G51" s="233">
        <v>9</v>
      </c>
      <c r="H51" s="234"/>
      <c r="I51" s="233"/>
      <c r="N51" s="235"/>
      <c r="O51" s="236"/>
      <c r="P51" s="237"/>
      <c r="S51">
        <v>3</v>
      </c>
      <c r="AA51" s="234"/>
      <c r="AB51" s="233"/>
      <c r="AM51" s="234"/>
      <c r="AN51" s="233"/>
      <c r="AO51">
        <v>0</v>
      </c>
    </row>
    <row r="52" spans="1:41">
      <c r="A52" s="233" t="s">
        <v>580</v>
      </c>
      <c r="B52" s="233" t="s">
        <v>540</v>
      </c>
      <c r="C52" s="234">
        <v>3</v>
      </c>
      <c r="D52" s="233"/>
      <c r="F52" s="234"/>
      <c r="G52" s="233"/>
      <c r="H52" s="234"/>
      <c r="I52" s="233"/>
      <c r="N52" s="235"/>
      <c r="O52" s="236"/>
      <c r="P52" s="237"/>
      <c r="AA52" s="234"/>
      <c r="AB52" s="233"/>
      <c r="AM52" s="234"/>
      <c r="AN52" s="233"/>
    </row>
    <row r="53" spans="1:41">
      <c r="A53" s="233" t="s">
        <v>581</v>
      </c>
      <c r="B53" s="233" t="s">
        <v>542</v>
      </c>
      <c r="C53" s="234">
        <v>31</v>
      </c>
      <c r="D53" s="233"/>
      <c r="F53" s="234"/>
      <c r="G53" s="233"/>
      <c r="H53" s="234">
        <v>18</v>
      </c>
      <c r="I53" s="233"/>
      <c r="N53" s="235"/>
      <c r="O53" s="236">
        <v>13</v>
      </c>
      <c r="P53" s="237"/>
      <c r="AA53" s="234"/>
      <c r="AB53" s="233"/>
      <c r="AM53" s="234"/>
      <c r="AN53" s="233"/>
    </row>
    <row r="54" spans="1:41">
      <c r="A54" s="233" t="s">
        <v>582</v>
      </c>
      <c r="B54" s="233" t="s">
        <v>540</v>
      </c>
      <c r="C54" s="234">
        <v>40</v>
      </c>
      <c r="D54" s="233"/>
      <c r="F54" s="234"/>
      <c r="G54" s="233">
        <v>38</v>
      </c>
      <c r="H54" s="234">
        <v>37</v>
      </c>
      <c r="I54" s="233"/>
      <c r="N54" s="235"/>
      <c r="O54" s="236"/>
      <c r="P54" s="237">
        <v>26</v>
      </c>
      <c r="AA54" s="234">
        <v>15</v>
      </c>
      <c r="AB54" s="233"/>
      <c r="AM54" s="234">
        <v>5</v>
      </c>
      <c r="AN54" s="233"/>
    </row>
    <row r="55" spans="1:41">
      <c r="A55" s="233" t="s">
        <v>583</v>
      </c>
      <c r="B55" s="233" t="s">
        <v>542</v>
      </c>
      <c r="C55" s="234">
        <v>27</v>
      </c>
      <c r="D55" s="233"/>
      <c r="E55">
        <v>27</v>
      </c>
      <c r="F55" s="234"/>
      <c r="G55" s="233"/>
      <c r="H55" s="234"/>
      <c r="I55" s="233"/>
      <c r="N55" s="235"/>
      <c r="O55" s="236"/>
      <c r="P55" s="237"/>
      <c r="AA55" s="234"/>
      <c r="AB55" s="233"/>
      <c r="AM55" s="234"/>
      <c r="AN55" s="233"/>
    </row>
    <row r="56" spans="1:41">
      <c r="A56" s="233" t="s">
        <v>41</v>
      </c>
      <c r="B56" s="233" t="s">
        <v>540</v>
      </c>
      <c r="C56" s="234">
        <v>43</v>
      </c>
      <c r="D56" s="233"/>
      <c r="F56" s="234"/>
      <c r="G56" s="233"/>
      <c r="H56" s="234"/>
      <c r="I56" s="233">
        <v>36</v>
      </c>
      <c r="N56" s="235"/>
      <c r="O56" s="236"/>
      <c r="P56" s="237">
        <v>32</v>
      </c>
      <c r="AA56" s="234">
        <v>33</v>
      </c>
      <c r="AB56" s="233"/>
      <c r="AM56" s="234"/>
      <c r="AN56" s="233">
        <v>10</v>
      </c>
    </row>
    <row r="57" spans="1:41">
      <c r="A57" s="233" t="s">
        <v>584</v>
      </c>
      <c r="B57" s="233" t="s">
        <v>542</v>
      </c>
      <c r="C57" s="234">
        <v>35</v>
      </c>
      <c r="D57" s="233"/>
      <c r="F57" s="234"/>
      <c r="G57" s="233">
        <v>24</v>
      </c>
      <c r="H57" s="234"/>
      <c r="I57" s="233"/>
      <c r="N57" s="235"/>
      <c r="O57" s="236"/>
      <c r="P57" s="237"/>
      <c r="AA57" s="234"/>
      <c r="AB57" s="233"/>
      <c r="AM57" s="234"/>
      <c r="AN57" s="233"/>
    </row>
    <row r="58" spans="1:41">
      <c r="A58" s="233" t="s">
        <v>24</v>
      </c>
      <c r="B58" s="233" t="s">
        <v>542</v>
      </c>
      <c r="C58" s="234">
        <v>40</v>
      </c>
      <c r="D58" s="233"/>
      <c r="F58" s="234"/>
      <c r="G58" s="233"/>
      <c r="H58" s="234"/>
      <c r="I58" s="233"/>
      <c r="J58">
        <v>40</v>
      </c>
      <c r="N58" s="235"/>
      <c r="O58" s="236"/>
      <c r="P58" s="237">
        <v>40</v>
      </c>
      <c r="AA58" s="234"/>
      <c r="AB58" s="233"/>
      <c r="AM58" s="234"/>
      <c r="AN58" s="233">
        <v>39</v>
      </c>
    </row>
    <row r="59" spans="1:41">
      <c r="A59" s="233" t="s">
        <v>585</v>
      </c>
      <c r="B59" s="233" t="s">
        <v>540</v>
      </c>
      <c r="C59" s="234">
        <v>23</v>
      </c>
      <c r="D59" s="233"/>
      <c r="F59" s="234"/>
      <c r="G59" s="233"/>
      <c r="H59" s="234"/>
      <c r="I59" s="233"/>
      <c r="N59" s="235"/>
      <c r="O59" s="236">
        <v>22</v>
      </c>
      <c r="P59" s="237"/>
      <c r="AA59" s="234"/>
      <c r="AB59" s="233"/>
      <c r="AM59" s="234"/>
      <c r="AN59" s="233"/>
    </row>
    <row r="60" spans="1:41">
      <c r="A60" s="233" t="s">
        <v>586</v>
      </c>
      <c r="B60" s="233" t="s">
        <v>542</v>
      </c>
      <c r="C60" s="234">
        <v>19</v>
      </c>
      <c r="D60" s="233"/>
      <c r="F60" s="234"/>
      <c r="G60" s="233">
        <v>20</v>
      </c>
      <c r="H60" s="234"/>
      <c r="I60" s="233"/>
      <c r="J60">
        <v>20</v>
      </c>
      <c r="N60" s="235"/>
      <c r="O60" s="236">
        <v>20</v>
      </c>
      <c r="P60" s="237"/>
      <c r="S60">
        <v>20</v>
      </c>
      <c r="W60">
        <v>20</v>
      </c>
      <c r="AA60" s="234">
        <v>20</v>
      </c>
      <c r="AB60" s="233"/>
      <c r="AF60">
        <v>20</v>
      </c>
      <c r="AK60">
        <v>20</v>
      </c>
      <c r="AM60" s="234"/>
      <c r="AN60" s="233">
        <v>17</v>
      </c>
    </row>
    <row r="61" spans="1:41">
      <c r="A61" s="233" t="s">
        <v>587</v>
      </c>
      <c r="B61" s="233" t="s">
        <v>574</v>
      </c>
      <c r="C61" s="234">
        <v>37</v>
      </c>
      <c r="D61" s="233"/>
      <c r="F61" s="234"/>
      <c r="G61" s="233">
        <v>32</v>
      </c>
      <c r="H61" s="234"/>
      <c r="I61" s="233">
        <v>32</v>
      </c>
      <c r="N61" s="235"/>
      <c r="O61" s="236">
        <v>28</v>
      </c>
      <c r="P61" s="237"/>
      <c r="AA61" s="234"/>
      <c r="AB61" s="233">
        <v>19</v>
      </c>
      <c r="AM61" s="234">
        <v>15</v>
      </c>
      <c r="AN61" s="233"/>
    </row>
    <row r="62" spans="1:41">
      <c r="A62" s="233" t="s">
        <v>588</v>
      </c>
      <c r="B62" s="233" t="s">
        <v>542</v>
      </c>
      <c r="C62" s="234">
        <v>32</v>
      </c>
      <c r="D62" s="233"/>
      <c r="F62" s="234"/>
      <c r="G62" s="233">
        <v>31</v>
      </c>
      <c r="H62" s="234"/>
      <c r="I62" s="233">
        <v>29</v>
      </c>
      <c r="M62">
        <v>29</v>
      </c>
      <c r="N62" s="235"/>
      <c r="O62" s="236">
        <v>27</v>
      </c>
      <c r="P62" s="237"/>
      <c r="W62">
        <v>25</v>
      </c>
      <c r="Z62">
        <v>24</v>
      </c>
      <c r="AA62" s="234"/>
      <c r="AB62" s="233"/>
      <c r="AG62">
        <v>22</v>
      </c>
      <c r="AM62" s="234"/>
      <c r="AN62" s="233">
        <v>7</v>
      </c>
    </row>
    <row r="63" spans="1:41">
      <c r="A63" s="233" t="s">
        <v>56</v>
      </c>
      <c r="B63" s="233" t="s">
        <v>542</v>
      </c>
      <c r="C63" s="234">
        <v>38</v>
      </c>
      <c r="D63" s="233"/>
      <c r="F63" s="234"/>
      <c r="G63" s="233"/>
      <c r="H63" s="234">
        <v>38</v>
      </c>
      <c r="I63" s="233"/>
      <c r="N63" s="235"/>
      <c r="O63" s="236"/>
      <c r="P63" s="237"/>
      <c r="Q63">
        <v>27</v>
      </c>
      <c r="AA63" s="234"/>
      <c r="AB63" s="233"/>
      <c r="AM63" s="234"/>
      <c r="AN63" s="233"/>
    </row>
    <row r="64" spans="1:41">
      <c r="A64" s="233" t="s">
        <v>589</v>
      </c>
      <c r="B64" s="233" t="s">
        <v>540</v>
      </c>
      <c r="C64" s="234"/>
      <c r="D64" s="233"/>
      <c r="F64" s="234"/>
      <c r="G64" s="233"/>
      <c r="H64" s="234"/>
      <c r="I64" s="233"/>
      <c r="N64" s="235"/>
      <c r="O64" s="236"/>
      <c r="P64" s="237"/>
      <c r="AA64" s="234"/>
      <c r="AB64" s="233"/>
      <c r="AM64" s="234"/>
      <c r="AN64" s="233"/>
    </row>
    <row r="65" spans="1:41">
      <c r="A65" s="233" t="s">
        <v>79</v>
      </c>
      <c r="B65" s="233" t="s">
        <v>542</v>
      </c>
      <c r="C65" s="234"/>
      <c r="D65" s="233"/>
      <c r="F65" s="234"/>
      <c r="G65" s="233"/>
      <c r="H65" s="234">
        <v>36</v>
      </c>
      <c r="I65" s="233"/>
      <c r="J65">
        <v>36</v>
      </c>
      <c r="N65" s="235"/>
      <c r="O65" s="236">
        <v>32</v>
      </c>
      <c r="P65" s="237"/>
      <c r="AA65" s="234"/>
      <c r="AB65" s="233"/>
      <c r="AM65" s="234"/>
      <c r="AN65" s="233"/>
    </row>
    <row r="66" spans="1:41">
      <c r="A66" s="233" t="s">
        <v>590</v>
      </c>
      <c r="B66" s="233" t="s">
        <v>540</v>
      </c>
      <c r="C66" s="234">
        <v>43</v>
      </c>
      <c r="D66" s="233"/>
      <c r="F66" s="234"/>
      <c r="G66" s="233">
        <v>43</v>
      </c>
      <c r="H66" s="234"/>
      <c r="I66" s="233"/>
      <c r="J66">
        <v>43</v>
      </c>
      <c r="N66" s="235">
        <v>39</v>
      </c>
      <c r="O66" s="236"/>
      <c r="P66" s="237">
        <v>37</v>
      </c>
      <c r="S66">
        <v>36</v>
      </c>
      <c r="AA66" s="234"/>
      <c r="AB66" s="233"/>
      <c r="AC66">
        <v>30</v>
      </c>
      <c r="AM66" s="234"/>
      <c r="AN66" s="233">
        <v>28</v>
      </c>
    </row>
    <row r="67" spans="1:41">
      <c r="A67" s="233" t="s">
        <v>22</v>
      </c>
      <c r="B67" s="233" t="s">
        <v>540</v>
      </c>
      <c r="C67" s="234">
        <v>30</v>
      </c>
      <c r="D67" s="233"/>
      <c r="F67" s="234">
        <v>25</v>
      </c>
      <c r="G67" s="233"/>
      <c r="H67" s="234"/>
      <c r="I67" s="233"/>
      <c r="J67">
        <v>21</v>
      </c>
      <c r="N67" s="235">
        <v>16</v>
      </c>
      <c r="O67" s="236"/>
      <c r="P67" s="237"/>
      <c r="Q67">
        <v>14</v>
      </c>
      <c r="AA67" s="234"/>
      <c r="AB67" s="233"/>
      <c r="AM67" s="234"/>
      <c r="AN67" s="233">
        <v>1</v>
      </c>
    </row>
    <row r="68" spans="1:41">
      <c r="A68" s="233" t="s">
        <v>591</v>
      </c>
      <c r="B68" s="233" t="s">
        <v>542</v>
      </c>
      <c r="C68" s="234"/>
      <c r="D68" s="233"/>
      <c r="F68" s="234"/>
      <c r="G68" s="233"/>
      <c r="H68" s="234"/>
      <c r="I68" s="233"/>
      <c r="N68" s="235"/>
      <c r="O68" s="236"/>
      <c r="P68" s="237"/>
      <c r="Q68">
        <v>32</v>
      </c>
      <c r="AA68" s="234"/>
      <c r="AB68" s="233"/>
      <c r="AM68" s="234"/>
      <c r="AN68" s="233"/>
    </row>
    <row r="69" spans="1:41">
      <c r="A69" s="233" t="s">
        <v>75</v>
      </c>
      <c r="B69" s="233" t="s">
        <v>544</v>
      </c>
      <c r="C69" s="234"/>
      <c r="D69" s="233"/>
      <c r="F69" s="234"/>
      <c r="G69" s="233"/>
      <c r="H69" s="234"/>
      <c r="I69" s="233"/>
      <c r="N69" s="235"/>
      <c r="O69" s="236"/>
      <c r="P69" s="237"/>
      <c r="AA69" s="234"/>
      <c r="AB69" s="233"/>
      <c r="AM69" s="234"/>
      <c r="AN69" s="233"/>
    </row>
    <row r="70" spans="1:41">
      <c r="A70" s="233" t="s">
        <v>45</v>
      </c>
      <c r="B70" s="233" t="s">
        <v>540</v>
      </c>
      <c r="C70" s="234">
        <v>45</v>
      </c>
      <c r="D70" s="233"/>
      <c r="E70">
        <v>45</v>
      </c>
      <c r="F70" s="234"/>
      <c r="G70" s="233"/>
      <c r="H70" s="234"/>
      <c r="I70" s="233">
        <v>35</v>
      </c>
      <c r="L70">
        <v>34</v>
      </c>
      <c r="N70" s="235"/>
      <c r="O70" s="236"/>
      <c r="P70" s="237"/>
      <c r="W70">
        <v>19</v>
      </c>
      <c r="Z70">
        <v>14</v>
      </c>
      <c r="AA70" s="234"/>
      <c r="AB70" s="233"/>
      <c r="AM70" s="234"/>
      <c r="AN70" s="233"/>
    </row>
    <row r="71" spans="1:41">
      <c r="A71" s="233" t="s">
        <v>592</v>
      </c>
      <c r="B71" s="233" t="s">
        <v>544</v>
      </c>
      <c r="C71" s="234">
        <v>45</v>
      </c>
      <c r="D71" s="233"/>
      <c r="F71" s="234"/>
      <c r="G71" s="233">
        <v>41</v>
      </c>
      <c r="H71" s="234">
        <v>36</v>
      </c>
      <c r="I71" s="233"/>
      <c r="N71" s="235">
        <v>33</v>
      </c>
      <c r="O71" s="236"/>
      <c r="P71" s="237"/>
      <c r="AA71" s="234">
        <v>27</v>
      </c>
      <c r="AB71" s="233"/>
      <c r="AM71" s="234"/>
      <c r="AN71" s="233"/>
    </row>
    <row r="72" spans="1:41">
      <c r="A72" s="233" t="s">
        <v>35</v>
      </c>
      <c r="B72" s="233" t="s">
        <v>540</v>
      </c>
      <c r="C72" s="234">
        <v>40</v>
      </c>
      <c r="D72" s="233"/>
      <c r="F72" s="234"/>
      <c r="G72" s="233">
        <v>34</v>
      </c>
      <c r="H72" s="234"/>
      <c r="I72" s="233">
        <v>30</v>
      </c>
      <c r="N72" s="235"/>
      <c r="O72" s="236">
        <v>24</v>
      </c>
      <c r="P72" s="237"/>
      <c r="Q72">
        <v>22</v>
      </c>
      <c r="AA72" s="234">
        <v>9</v>
      </c>
      <c r="AB72" s="233"/>
      <c r="AM72" s="234"/>
      <c r="AN72" s="233">
        <v>1</v>
      </c>
    </row>
    <row r="73" spans="1:41">
      <c r="A73" s="233" t="s">
        <v>593</v>
      </c>
      <c r="B73" s="233" t="s">
        <v>540</v>
      </c>
      <c r="C73" s="234">
        <v>39</v>
      </c>
      <c r="D73" s="233"/>
      <c r="E73">
        <v>38</v>
      </c>
      <c r="F73" s="234"/>
      <c r="G73" s="233"/>
      <c r="H73" s="234">
        <v>34</v>
      </c>
      <c r="I73" s="233"/>
      <c r="N73" s="235"/>
      <c r="O73" s="236"/>
      <c r="P73" s="237"/>
      <c r="AA73" s="234"/>
      <c r="AB73" s="233"/>
      <c r="AM73" s="234"/>
      <c r="AN73" s="233"/>
    </row>
    <row r="74" spans="1:41">
      <c r="A74" s="233" t="s">
        <v>594</v>
      </c>
      <c r="B74" s="233" t="s">
        <v>540</v>
      </c>
      <c r="C74" s="234">
        <v>25</v>
      </c>
      <c r="D74" s="233"/>
      <c r="F74" s="234">
        <v>22</v>
      </c>
      <c r="G74" s="233"/>
      <c r="H74" s="234">
        <v>21</v>
      </c>
      <c r="I74" s="233"/>
      <c r="N74" s="235"/>
      <c r="O74" s="236"/>
      <c r="P74" s="237"/>
      <c r="Q74">
        <v>13</v>
      </c>
      <c r="AA74" s="234">
        <v>11</v>
      </c>
      <c r="AB74" s="233"/>
      <c r="AM74" s="234"/>
      <c r="AN74" s="233"/>
    </row>
    <row r="75" spans="1:41">
      <c r="A75" s="233" t="s">
        <v>595</v>
      </c>
      <c r="B75" s="233" t="s">
        <v>544</v>
      </c>
      <c r="C75" s="234">
        <v>27</v>
      </c>
      <c r="D75" s="233"/>
      <c r="E75">
        <v>25</v>
      </c>
      <c r="F75" s="234"/>
      <c r="G75" s="233"/>
      <c r="H75" s="234"/>
      <c r="I75" s="233">
        <v>22</v>
      </c>
      <c r="M75">
        <v>21</v>
      </c>
      <c r="N75" s="235"/>
      <c r="O75" s="236">
        <v>21</v>
      </c>
      <c r="P75" s="237"/>
      <c r="Q75">
        <v>19</v>
      </c>
      <c r="X75">
        <v>18</v>
      </c>
      <c r="AA75" s="234"/>
      <c r="AB75" s="233">
        <v>10</v>
      </c>
      <c r="AG75">
        <v>5</v>
      </c>
      <c r="AM75" s="234">
        <v>2</v>
      </c>
      <c r="AN75" s="233"/>
    </row>
    <row r="76" spans="1:41">
      <c r="A76" s="233" t="s">
        <v>596</v>
      </c>
      <c r="B76" s="233" t="s">
        <v>540</v>
      </c>
      <c r="C76" s="234">
        <v>16</v>
      </c>
      <c r="D76" s="233"/>
      <c r="F76" s="234"/>
      <c r="G76" s="233"/>
      <c r="H76" s="234">
        <v>4</v>
      </c>
      <c r="I76" s="233"/>
      <c r="N76" s="235"/>
      <c r="O76" s="236"/>
      <c r="P76" s="237"/>
      <c r="AA76" s="234">
        <v>0</v>
      </c>
      <c r="AB76" s="233"/>
      <c r="AM76" s="234"/>
      <c r="AN76" s="233"/>
      <c r="AO76">
        <v>0</v>
      </c>
    </row>
    <row r="77" spans="1:41">
      <c r="A77" s="233" t="s">
        <v>28</v>
      </c>
      <c r="B77" s="233" t="s">
        <v>574</v>
      </c>
      <c r="C77" s="234">
        <v>39</v>
      </c>
      <c r="D77" s="233"/>
      <c r="E77">
        <v>39</v>
      </c>
      <c r="F77" s="234"/>
      <c r="G77" s="233">
        <v>38</v>
      </c>
      <c r="H77" s="234"/>
      <c r="I77" s="233">
        <v>36</v>
      </c>
      <c r="L77">
        <v>33</v>
      </c>
      <c r="N77" s="235"/>
      <c r="O77" s="236">
        <v>32</v>
      </c>
      <c r="P77" s="237">
        <v>33</v>
      </c>
      <c r="S77">
        <v>32</v>
      </c>
      <c r="T77">
        <v>32</v>
      </c>
      <c r="AA77" s="234">
        <v>32</v>
      </c>
      <c r="AB77" s="233">
        <v>32</v>
      </c>
      <c r="AG77">
        <v>31</v>
      </c>
      <c r="AK77">
        <v>21</v>
      </c>
      <c r="AM77" s="234"/>
      <c r="AN77" s="233">
        <v>20</v>
      </c>
    </row>
    <row r="78" spans="1:41">
      <c r="A78" s="233" t="s">
        <v>597</v>
      </c>
      <c r="B78" s="233" t="s">
        <v>540</v>
      </c>
      <c r="C78" s="234"/>
      <c r="D78" s="233"/>
      <c r="F78" s="234"/>
      <c r="G78" s="233"/>
      <c r="H78" s="234"/>
      <c r="I78" s="233"/>
      <c r="N78" s="235"/>
      <c r="O78" s="236"/>
      <c r="P78" s="237"/>
      <c r="AA78" s="234"/>
      <c r="AB78" s="233"/>
      <c r="AM78" s="234"/>
      <c r="AN78" s="233"/>
    </row>
    <row r="79" spans="1:41">
      <c r="A79" s="233" t="s">
        <v>598</v>
      </c>
      <c r="B79" s="233" t="s">
        <v>540</v>
      </c>
      <c r="C79" s="234">
        <v>31</v>
      </c>
      <c r="D79" s="233"/>
      <c r="F79" s="234"/>
      <c r="G79" s="233">
        <v>25</v>
      </c>
      <c r="H79" s="234"/>
      <c r="I79" s="233">
        <v>21</v>
      </c>
      <c r="N79" s="235"/>
      <c r="O79" s="236"/>
      <c r="P79" s="237"/>
      <c r="Q79">
        <v>17</v>
      </c>
      <c r="U79">
        <v>15</v>
      </c>
      <c r="AA79" s="234">
        <v>13</v>
      </c>
      <c r="AB79" s="233"/>
      <c r="AK79">
        <v>12</v>
      </c>
      <c r="AM79" s="234"/>
      <c r="AN79" s="233"/>
    </row>
    <row r="80" spans="1:41">
      <c r="A80" s="233" t="s">
        <v>599</v>
      </c>
      <c r="B80" s="233" t="s">
        <v>542</v>
      </c>
      <c r="C80" s="234">
        <v>21</v>
      </c>
      <c r="D80" s="233"/>
      <c r="F80" s="234"/>
      <c r="G80" s="233"/>
      <c r="H80" s="234"/>
      <c r="I80" s="233">
        <v>18</v>
      </c>
      <c r="N80" s="235"/>
      <c r="O80" s="236"/>
      <c r="P80" s="237">
        <v>10</v>
      </c>
      <c r="AA80" s="234"/>
      <c r="AB80" s="233"/>
      <c r="AM80" s="234"/>
      <c r="AN80" s="233"/>
    </row>
    <row r="81" spans="1:43">
      <c r="A81" s="233" t="s">
        <v>34</v>
      </c>
      <c r="B81" s="233" t="s">
        <v>540</v>
      </c>
      <c r="C81" s="234">
        <v>36</v>
      </c>
      <c r="D81" s="233"/>
      <c r="F81" s="234">
        <v>32</v>
      </c>
      <c r="G81" s="233"/>
      <c r="H81" s="234">
        <v>32</v>
      </c>
      <c r="I81" s="233"/>
      <c r="J81">
        <v>32</v>
      </c>
      <c r="M81">
        <v>32</v>
      </c>
      <c r="N81" s="235"/>
      <c r="O81" s="236">
        <v>31</v>
      </c>
      <c r="P81" s="237">
        <v>31</v>
      </c>
      <c r="S81">
        <v>31</v>
      </c>
      <c r="T81">
        <v>31</v>
      </c>
      <c r="AA81" s="234">
        <v>23</v>
      </c>
      <c r="AB81" s="233"/>
      <c r="AI81">
        <v>23</v>
      </c>
      <c r="AM81" s="234">
        <v>21</v>
      </c>
      <c r="AN81" s="233"/>
    </row>
    <row r="82" spans="1:43">
      <c r="A82" s="233" t="s">
        <v>600</v>
      </c>
      <c r="B82" s="233" t="s">
        <v>540</v>
      </c>
      <c r="C82" s="234">
        <v>28</v>
      </c>
      <c r="D82" s="233"/>
      <c r="F82" s="234"/>
      <c r="G82" s="233"/>
      <c r="H82" s="234"/>
      <c r="I82" s="233"/>
      <c r="N82" s="235"/>
      <c r="O82" s="236"/>
      <c r="P82" s="237"/>
      <c r="R82">
        <v>17</v>
      </c>
      <c r="AA82" s="234"/>
      <c r="AB82" s="233"/>
      <c r="AM82" s="234"/>
      <c r="AN82" s="233"/>
    </row>
    <row r="83" spans="1:43">
      <c r="A83" s="233" t="s">
        <v>23</v>
      </c>
      <c r="B83" s="233" t="s">
        <v>542</v>
      </c>
      <c r="C83" s="234">
        <v>30</v>
      </c>
      <c r="D83" s="233"/>
      <c r="F83" s="234">
        <v>30</v>
      </c>
      <c r="G83" s="233"/>
      <c r="H83" s="234"/>
      <c r="I83" s="233">
        <v>29</v>
      </c>
      <c r="N83" s="235"/>
      <c r="O83" s="236"/>
      <c r="P83" s="237">
        <v>28</v>
      </c>
      <c r="Q83">
        <v>28</v>
      </c>
      <c r="T83">
        <v>29</v>
      </c>
      <c r="V83">
        <v>29</v>
      </c>
      <c r="AA83" s="234"/>
      <c r="AB83" s="233">
        <v>28</v>
      </c>
      <c r="AM83" s="234"/>
      <c r="AN83" s="233"/>
    </row>
    <row r="84" spans="1:43">
      <c r="A84" s="233" t="s">
        <v>601</v>
      </c>
      <c r="B84" s="233" t="s">
        <v>542</v>
      </c>
      <c r="C84" s="234"/>
      <c r="D84" s="233"/>
      <c r="F84" s="234"/>
      <c r="G84" s="233"/>
      <c r="H84" s="234"/>
      <c r="I84" s="233"/>
      <c r="N84" s="235"/>
      <c r="O84" s="236"/>
      <c r="P84" s="237"/>
      <c r="AA84" s="234"/>
      <c r="AB84" s="233"/>
      <c r="AM84" s="234"/>
      <c r="AN84" s="233"/>
    </row>
    <row r="85" spans="1:43">
      <c r="A85" s="233" t="s">
        <v>602</v>
      </c>
      <c r="B85" s="233" t="s">
        <v>540</v>
      </c>
      <c r="C85" s="234">
        <v>24</v>
      </c>
      <c r="D85" s="233"/>
      <c r="F85" s="234"/>
      <c r="G85" s="233">
        <v>13</v>
      </c>
      <c r="H85" s="234"/>
      <c r="I85" s="233"/>
      <c r="J85">
        <v>8</v>
      </c>
      <c r="N85" s="235"/>
      <c r="O85" s="236"/>
      <c r="P85" s="237"/>
      <c r="AA85" s="234"/>
      <c r="AB85" s="233"/>
      <c r="AM85" s="234"/>
      <c r="AN85" s="233"/>
    </row>
    <row r="86" spans="1:43">
      <c r="A86" s="233" t="s">
        <v>603</v>
      </c>
      <c r="B86" s="233" t="s">
        <v>540</v>
      </c>
      <c r="C86" s="234">
        <v>21</v>
      </c>
      <c r="D86" s="233"/>
      <c r="F86" s="234"/>
      <c r="G86" s="233">
        <v>16</v>
      </c>
      <c r="H86" s="234"/>
      <c r="I86" s="233"/>
      <c r="N86" s="235"/>
      <c r="O86" s="236"/>
      <c r="P86" s="237">
        <v>4</v>
      </c>
      <c r="AA86" s="234"/>
      <c r="AB86" s="233"/>
      <c r="AM86" s="234"/>
      <c r="AN86" s="233"/>
    </row>
    <row r="87" spans="1:43">
      <c r="A87" s="233" t="s">
        <v>604</v>
      </c>
      <c r="B87" s="233" t="s">
        <v>542</v>
      </c>
      <c r="C87" s="234">
        <v>28</v>
      </c>
      <c r="D87" s="233"/>
      <c r="F87" s="234"/>
      <c r="G87" s="233"/>
      <c r="H87" s="234"/>
      <c r="I87" s="233">
        <v>23</v>
      </c>
      <c r="L87">
        <v>21</v>
      </c>
      <c r="N87" s="235"/>
      <c r="O87" s="236"/>
      <c r="P87" s="237">
        <v>11</v>
      </c>
      <c r="T87">
        <v>2</v>
      </c>
      <c r="AA87" s="234"/>
      <c r="AB87" s="233"/>
      <c r="AM87" s="234"/>
      <c r="AN87" s="233"/>
    </row>
    <row r="88" spans="1:43">
      <c r="A88" s="233" t="s">
        <v>39</v>
      </c>
      <c r="B88" s="233" t="s">
        <v>542</v>
      </c>
      <c r="C88" s="234">
        <v>42</v>
      </c>
      <c r="D88" s="233"/>
      <c r="F88" s="234"/>
      <c r="G88" s="233"/>
      <c r="H88" s="234"/>
      <c r="I88" s="233">
        <v>33</v>
      </c>
      <c r="N88" s="235"/>
      <c r="O88" s="236">
        <v>22</v>
      </c>
      <c r="P88" s="237"/>
      <c r="AA88" s="234"/>
      <c r="AB88" s="233"/>
      <c r="AM88" s="234"/>
      <c r="AN88" s="233"/>
    </row>
    <row r="89" spans="1:43">
      <c r="A89" s="233" t="s">
        <v>44</v>
      </c>
      <c r="B89" s="233" t="s">
        <v>542</v>
      </c>
      <c r="C89" s="234">
        <v>41</v>
      </c>
      <c r="D89" s="233"/>
      <c r="F89" s="234"/>
      <c r="G89" s="233">
        <v>35</v>
      </c>
      <c r="H89" s="234">
        <v>32</v>
      </c>
      <c r="I89" s="233"/>
      <c r="K89">
        <v>30</v>
      </c>
      <c r="N89" s="235"/>
      <c r="O89" s="236">
        <v>13</v>
      </c>
      <c r="P89" s="237">
        <v>10</v>
      </c>
      <c r="T89">
        <v>10</v>
      </c>
      <c r="Y89">
        <v>9</v>
      </c>
      <c r="AA89" s="234"/>
      <c r="AB89" s="233"/>
      <c r="AH89">
        <v>9</v>
      </c>
      <c r="AM89" s="234"/>
      <c r="AN89" s="233"/>
    </row>
    <row r="90" spans="1:43">
      <c r="A90" s="233" t="s">
        <v>29</v>
      </c>
      <c r="B90" s="233" t="s">
        <v>540</v>
      </c>
      <c r="C90" s="234">
        <v>45</v>
      </c>
      <c r="D90" s="233"/>
      <c r="F90" s="234">
        <v>44</v>
      </c>
      <c r="G90" s="233"/>
      <c r="H90" s="234"/>
      <c r="I90" s="233"/>
      <c r="J90">
        <v>44</v>
      </c>
      <c r="N90" s="235"/>
      <c r="O90" s="236"/>
      <c r="P90" s="237">
        <v>44</v>
      </c>
      <c r="T90">
        <v>44</v>
      </c>
      <c r="W90">
        <v>44</v>
      </c>
      <c r="AA90" s="234"/>
      <c r="AB90" s="233"/>
      <c r="AM90" s="234"/>
      <c r="AN90" s="233"/>
      <c r="AQ90">
        <v>33</v>
      </c>
    </row>
    <row r="91" spans="1:43">
      <c r="A91" s="233" t="s">
        <v>605</v>
      </c>
      <c r="B91" s="233" t="s">
        <v>542</v>
      </c>
      <c r="C91" s="234"/>
      <c r="D91" s="233"/>
      <c r="F91" s="234"/>
      <c r="G91" s="233"/>
      <c r="H91" s="234"/>
      <c r="I91" s="233"/>
      <c r="K91">
        <v>11</v>
      </c>
      <c r="N91" s="235"/>
      <c r="O91" s="236"/>
      <c r="P91" s="237"/>
      <c r="AA91" s="234"/>
      <c r="AB91" s="233"/>
      <c r="AM91" s="234"/>
      <c r="AN91" s="233"/>
    </row>
    <row r="92" spans="1:43">
      <c r="A92" s="233" t="s">
        <v>606</v>
      </c>
      <c r="B92" s="233" t="s">
        <v>542</v>
      </c>
      <c r="C92" s="234">
        <v>34</v>
      </c>
      <c r="D92" s="233"/>
      <c r="F92" s="234"/>
      <c r="G92" s="233">
        <v>16</v>
      </c>
      <c r="H92" s="234">
        <v>8</v>
      </c>
      <c r="I92" s="233"/>
      <c r="N92" s="235"/>
      <c r="O92" s="236">
        <v>6</v>
      </c>
      <c r="P92" s="237"/>
      <c r="AA92" s="234"/>
      <c r="AB92" s="233"/>
      <c r="AM92" s="234"/>
      <c r="AN92" s="233"/>
    </row>
    <row r="93" spans="1:43">
      <c r="A93" s="233" t="s">
        <v>607</v>
      </c>
      <c r="B93" s="233" t="s">
        <v>540</v>
      </c>
      <c r="C93" s="234">
        <v>39</v>
      </c>
      <c r="D93" s="233"/>
      <c r="E93">
        <v>35</v>
      </c>
      <c r="F93" s="234"/>
      <c r="G93" s="233"/>
      <c r="H93" s="234"/>
      <c r="I93" s="233"/>
      <c r="N93" s="235"/>
      <c r="O93" s="236"/>
      <c r="P93" s="237">
        <v>31</v>
      </c>
      <c r="AA93" s="234"/>
      <c r="AB93" s="233"/>
      <c r="AM93" s="234"/>
      <c r="AN93" s="233"/>
    </row>
    <row r="94" spans="1:43">
      <c r="A94" s="233" t="s">
        <v>608</v>
      </c>
      <c r="B94" s="233" t="s">
        <v>544</v>
      </c>
      <c r="C94" s="234">
        <v>34</v>
      </c>
      <c r="D94" s="233"/>
      <c r="E94">
        <v>30</v>
      </c>
      <c r="F94" s="234"/>
      <c r="G94" s="233"/>
      <c r="H94" s="234"/>
      <c r="I94" s="233">
        <v>28</v>
      </c>
      <c r="M94">
        <v>26</v>
      </c>
      <c r="N94" s="235"/>
      <c r="O94" s="236"/>
      <c r="P94" s="237">
        <v>24</v>
      </c>
      <c r="S94">
        <v>26</v>
      </c>
      <c r="T94">
        <v>22</v>
      </c>
      <c r="W94">
        <v>20</v>
      </c>
      <c r="AA94" s="234"/>
      <c r="AB94" s="233">
        <v>18</v>
      </c>
      <c r="AF94">
        <v>13</v>
      </c>
      <c r="AI94">
        <v>13</v>
      </c>
      <c r="AM94" s="234"/>
      <c r="AN94" s="233"/>
      <c r="AO94">
        <v>13</v>
      </c>
    </row>
    <row r="95" spans="1:43">
      <c r="A95" s="233" t="s">
        <v>40</v>
      </c>
      <c r="B95" s="233" t="s">
        <v>540</v>
      </c>
      <c r="C95" s="234">
        <v>38</v>
      </c>
      <c r="D95" s="233"/>
      <c r="E95">
        <v>35</v>
      </c>
      <c r="F95" s="234"/>
      <c r="G95" s="233">
        <v>28</v>
      </c>
      <c r="H95" s="234"/>
      <c r="I95" s="233">
        <v>28</v>
      </c>
      <c r="L95">
        <v>26</v>
      </c>
      <c r="N95" s="235">
        <v>23</v>
      </c>
      <c r="O95" s="236"/>
      <c r="P95" s="237">
        <v>23</v>
      </c>
      <c r="T95">
        <v>21</v>
      </c>
      <c r="X95">
        <v>20</v>
      </c>
      <c r="AA95" s="234"/>
      <c r="AB95" s="233"/>
      <c r="AC95">
        <v>18</v>
      </c>
      <c r="AI95">
        <v>10</v>
      </c>
      <c r="AM95" s="234"/>
      <c r="AN95" s="233"/>
    </row>
    <row r="96" spans="1:43">
      <c r="A96" s="233" t="s">
        <v>609</v>
      </c>
      <c r="B96" s="233" t="s">
        <v>542</v>
      </c>
      <c r="C96" s="234">
        <v>36</v>
      </c>
      <c r="D96" s="233"/>
      <c r="F96" s="234">
        <v>35</v>
      </c>
      <c r="G96" s="233"/>
      <c r="H96" s="234">
        <v>34</v>
      </c>
      <c r="I96" s="233">
        <v>33</v>
      </c>
      <c r="L96">
        <v>29</v>
      </c>
      <c r="N96" s="235"/>
      <c r="O96" s="236"/>
      <c r="P96" s="237">
        <v>28</v>
      </c>
      <c r="X96">
        <v>18</v>
      </c>
      <c r="AA96" s="234"/>
      <c r="AB96" s="233">
        <v>15</v>
      </c>
      <c r="AH96">
        <v>13</v>
      </c>
      <c r="AM96" s="234"/>
      <c r="AN96" s="233">
        <v>12</v>
      </c>
    </row>
    <row r="97" spans="1:40">
      <c r="A97" s="233" t="s">
        <v>610</v>
      </c>
      <c r="B97" s="233" t="s">
        <v>574</v>
      </c>
      <c r="C97" s="234">
        <v>27</v>
      </c>
      <c r="D97" s="233"/>
      <c r="F97" s="234"/>
      <c r="G97" s="233"/>
      <c r="H97" s="234"/>
      <c r="I97" s="233"/>
      <c r="N97" s="235"/>
      <c r="O97" s="236"/>
      <c r="P97" s="237"/>
      <c r="AA97" s="234"/>
      <c r="AB97" s="233"/>
      <c r="AM97" s="234"/>
      <c r="AN97" s="233"/>
    </row>
    <row r="98" spans="1:40">
      <c r="A98" s="233" t="s">
        <v>611</v>
      </c>
      <c r="B98" s="233" t="s">
        <v>574</v>
      </c>
      <c r="C98" s="234">
        <v>22</v>
      </c>
      <c r="D98" s="233"/>
      <c r="F98" s="234"/>
      <c r="G98" s="233">
        <v>14</v>
      </c>
      <c r="H98" s="234"/>
      <c r="I98" s="233"/>
      <c r="N98" s="235"/>
      <c r="O98" s="236"/>
      <c r="P98" s="237"/>
      <c r="AA98" s="234"/>
      <c r="AB98" s="233"/>
      <c r="AM98" s="234"/>
      <c r="AN98" s="233"/>
    </row>
    <row r="99" spans="1:40">
      <c r="A99" s="233" t="s">
        <v>612</v>
      </c>
      <c r="B99" s="233" t="s">
        <v>542</v>
      </c>
      <c r="C99" s="234">
        <v>28</v>
      </c>
      <c r="D99" s="233"/>
      <c r="F99" s="234">
        <v>24</v>
      </c>
      <c r="G99" s="233"/>
      <c r="H99" s="234">
        <v>23</v>
      </c>
      <c r="I99" s="233"/>
      <c r="L99">
        <v>21</v>
      </c>
      <c r="N99" s="235"/>
      <c r="O99" s="236">
        <v>19</v>
      </c>
      <c r="P99" s="237"/>
      <c r="S99">
        <v>18</v>
      </c>
      <c r="X99">
        <v>16</v>
      </c>
      <c r="AA99" s="234">
        <v>15</v>
      </c>
      <c r="AB99" s="233"/>
      <c r="AM99" s="234"/>
      <c r="AN99" s="233"/>
    </row>
    <row r="100" spans="1:40">
      <c r="A100" s="233" t="s">
        <v>38</v>
      </c>
      <c r="B100" s="233" t="s">
        <v>540</v>
      </c>
      <c r="C100" s="234">
        <v>42</v>
      </c>
      <c r="D100" s="233"/>
      <c r="F100" s="234">
        <v>39</v>
      </c>
      <c r="G100" s="233"/>
      <c r="H100" s="234"/>
      <c r="I100" s="233">
        <v>34</v>
      </c>
      <c r="N100" s="235"/>
      <c r="O100" s="236">
        <v>28</v>
      </c>
      <c r="P100" s="237">
        <v>27</v>
      </c>
      <c r="R100">
        <v>26</v>
      </c>
      <c r="W100">
        <v>25</v>
      </c>
      <c r="AA100" s="234">
        <v>23</v>
      </c>
      <c r="AB100" s="233"/>
      <c r="AD100">
        <v>21</v>
      </c>
      <c r="AF100">
        <v>21</v>
      </c>
      <c r="AI100">
        <v>21</v>
      </c>
      <c r="AK100">
        <v>21</v>
      </c>
      <c r="AM100" s="234"/>
      <c r="AN100" s="233"/>
    </row>
    <row r="101" spans="1:40">
      <c r="A101" s="233" t="s">
        <v>51</v>
      </c>
      <c r="B101" s="233" t="s">
        <v>542</v>
      </c>
      <c r="C101" s="234">
        <v>41</v>
      </c>
      <c r="D101" s="233"/>
      <c r="F101" s="234"/>
      <c r="G101" s="233">
        <v>39</v>
      </c>
      <c r="H101" s="234"/>
      <c r="I101" s="233"/>
      <c r="N101" s="235"/>
      <c r="O101" s="236"/>
      <c r="P101" s="237">
        <v>24</v>
      </c>
      <c r="AA101" s="234"/>
      <c r="AB101" s="233"/>
      <c r="AM101" s="234"/>
      <c r="AN101" s="233"/>
    </row>
    <row r="102" spans="1:40">
      <c r="A102" s="233" t="s">
        <v>613</v>
      </c>
      <c r="B102" s="233" t="s">
        <v>542</v>
      </c>
      <c r="C102" s="234">
        <v>39</v>
      </c>
      <c r="D102" s="233"/>
      <c r="E102">
        <v>39</v>
      </c>
      <c r="F102" s="234"/>
      <c r="G102" s="233"/>
      <c r="H102" s="234"/>
      <c r="I102" s="233">
        <v>39</v>
      </c>
      <c r="N102" s="235"/>
      <c r="O102" s="236">
        <v>39</v>
      </c>
      <c r="P102" s="237"/>
      <c r="Q102">
        <v>39</v>
      </c>
      <c r="W102">
        <v>37</v>
      </c>
      <c r="AA102" s="234"/>
      <c r="AB102" s="233">
        <v>37</v>
      </c>
      <c r="AE102">
        <v>36</v>
      </c>
      <c r="AG102">
        <v>36</v>
      </c>
      <c r="AK102">
        <v>36</v>
      </c>
      <c r="AM102" s="234">
        <v>35</v>
      </c>
      <c r="AN102" s="233"/>
    </row>
    <row r="103" spans="1:40">
      <c r="A103" s="233" t="s">
        <v>14</v>
      </c>
      <c r="B103" s="233" t="s">
        <v>540</v>
      </c>
      <c r="C103" s="234">
        <v>36</v>
      </c>
      <c r="D103" s="233"/>
      <c r="F103" s="234"/>
      <c r="G103" s="233">
        <v>36</v>
      </c>
      <c r="H103" s="234"/>
      <c r="I103" s="233"/>
      <c r="K103">
        <v>34</v>
      </c>
      <c r="N103" s="235"/>
      <c r="O103" s="236"/>
      <c r="P103" s="237"/>
      <c r="AA103" s="234"/>
      <c r="AB103" s="233"/>
      <c r="AM103" s="234"/>
      <c r="AN103" s="233"/>
    </row>
    <row r="104" spans="1:40">
      <c r="A104" s="233" t="s">
        <v>614</v>
      </c>
      <c r="B104" s="233" t="s">
        <v>540</v>
      </c>
      <c r="C104" s="234">
        <v>30</v>
      </c>
      <c r="D104" s="233"/>
      <c r="F104" s="234"/>
      <c r="G104" s="233"/>
      <c r="H104" s="234"/>
      <c r="I104" s="233"/>
      <c r="N104" s="235"/>
      <c r="O104" s="236"/>
      <c r="P104" s="237"/>
      <c r="AA104" s="234"/>
      <c r="AB104" s="233"/>
      <c r="AC104">
        <v>25</v>
      </c>
      <c r="AM104" s="234"/>
      <c r="AN104" s="233">
        <v>25</v>
      </c>
    </row>
    <row r="105" spans="1:40">
      <c r="A105" s="233" t="s">
        <v>4</v>
      </c>
      <c r="B105" s="233" t="s">
        <v>544</v>
      </c>
      <c r="C105" s="234">
        <v>41</v>
      </c>
      <c r="D105" s="233"/>
      <c r="F105" s="234"/>
      <c r="G105" s="233">
        <v>40</v>
      </c>
      <c r="H105" s="234"/>
      <c r="I105" s="233">
        <v>40</v>
      </c>
      <c r="N105" s="235"/>
      <c r="O105" s="236">
        <v>40</v>
      </c>
      <c r="P105" s="237"/>
      <c r="Q105">
        <v>39</v>
      </c>
      <c r="X105">
        <v>33</v>
      </c>
      <c r="AA105" s="234">
        <v>33</v>
      </c>
      <c r="AB105" s="233">
        <v>32</v>
      </c>
      <c r="AE105">
        <v>29</v>
      </c>
      <c r="AH105">
        <v>30</v>
      </c>
      <c r="AK105">
        <v>29</v>
      </c>
      <c r="AM105" s="234">
        <v>27</v>
      </c>
      <c r="AN105" s="233"/>
    </row>
    <row r="106" spans="1:40">
      <c r="A106" s="233" t="s">
        <v>615</v>
      </c>
      <c r="B106" s="233" t="s">
        <v>542</v>
      </c>
      <c r="C106" s="234">
        <v>30</v>
      </c>
      <c r="D106" s="233"/>
      <c r="F106" s="234">
        <v>29</v>
      </c>
      <c r="G106" s="233"/>
      <c r="H106" s="234">
        <v>24</v>
      </c>
      <c r="I106" s="233"/>
      <c r="N106" s="235"/>
      <c r="O106" s="236"/>
      <c r="P106" s="237"/>
      <c r="AA106" s="234"/>
      <c r="AB106" s="233"/>
      <c r="AM106" s="234"/>
      <c r="AN106" s="233"/>
    </row>
    <row r="107" spans="1:40">
      <c r="A107" s="233" t="s">
        <v>616</v>
      </c>
      <c r="B107" s="233" t="s">
        <v>540</v>
      </c>
      <c r="C107" s="234">
        <v>30</v>
      </c>
      <c r="D107" s="233"/>
      <c r="F107" s="234">
        <v>25</v>
      </c>
      <c r="G107" s="233"/>
      <c r="H107" s="234"/>
      <c r="I107" s="233">
        <v>22</v>
      </c>
      <c r="N107" s="235"/>
      <c r="O107" s="236"/>
      <c r="P107" s="237"/>
      <c r="Q107">
        <v>17</v>
      </c>
      <c r="U107">
        <v>15</v>
      </c>
      <c r="Y107">
        <v>15</v>
      </c>
      <c r="AA107" s="234"/>
      <c r="AB107" s="233"/>
      <c r="AM107" s="234"/>
      <c r="AN107" s="233"/>
    </row>
    <row r="108" spans="1:40">
      <c r="A108" s="233" t="s">
        <v>617</v>
      </c>
      <c r="B108" s="233" t="s">
        <v>544</v>
      </c>
      <c r="C108" s="234">
        <v>27</v>
      </c>
      <c r="D108" s="233"/>
      <c r="F108" s="234"/>
      <c r="G108" s="233">
        <v>27</v>
      </c>
      <c r="H108" s="234"/>
      <c r="I108" s="233">
        <v>26</v>
      </c>
      <c r="N108" s="235"/>
      <c r="O108" s="236"/>
      <c r="P108" s="237"/>
      <c r="AA108" s="234"/>
      <c r="AB108" s="233"/>
      <c r="AM108" s="234"/>
      <c r="AN108" s="233"/>
    </row>
    <row r="109" spans="1:40">
      <c r="A109" s="233" t="s">
        <v>618</v>
      </c>
      <c r="B109" s="233" t="s">
        <v>540</v>
      </c>
      <c r="C109" s="234">
        <v>28</v>
      </c>
      <c r="D109" s="233"/>
      <c r="F109" s="234"/>
      <c r="G109" s="233">
        <v>19</v>
      </c>
      <c r="H109" s="234"/>
      <c r="I109" s="233">
        <v>15</v>
      </c>
      <c r="N109" s="235"/>
      <c r="O109" s="236">
        <v>12</v>
      </c>
      <c r="P109" s="237"/>
      <c r="AA109" s="234"/>
      <c r="AB109" s="233"/>
      <c r="AM109" s="234"/>
      <c r="AN109" s="233"/>
    </row>
    <row r="110" spans="1:40">
      <c r="A110" s="233" t="s">
        <v>619</v>
      </c>
      <c r="B110" s="233" t="s">
        <v>540</v>
      </c>
      <c r="C110" s="234">
        <v>38</v>
      </c>
      <c r="D110" s="233"/>
      <c r="E110">
        <v>35</v>
      </c>
      <c r="F110" s="234"/>
      <c r="G110" s="233"/>
      <c r="H110" s="234"/>
      <c r="I110" s="233"/>
      <c r="N110" s="235"/>
      <c r="O110" s="236"/>
      <c r="P110" s="237"/>
      <c r="AA110" s="234"/>
      <c r="AB110" s="233"/>
      <c r="AM110" s="234"/>
      <c r="AN110" s="233"/>
    </row>
    <row r="111" spans="1:40">
      <c r="A111" s="233" t="s">
        <v>620</v>
      </c>
      <c r="B111" s="233" t="s">
        <v>540</v>
      </c>
      <c r="C111" s="234">
        <v>27</v>
      </c>
      <c r="D111" s="233"/>
      <c r="F111" s="234">
        <v>24</v>
      </c>
      <c r="G111" s="233"/>
      <c r="H111" s="234"/>
      <c r="I111" s="233"/>
      <c r="N111" s="235"/>
      <c r="O111" s="236"/>
      <c r="P111" s="237"/>
      <c r="AA111" s="234"/>
      <c r="AB111" s="233"/>
      <c r="AM111" s="234"/>
      <c r="AN111" s="233"/>
    </row>
    <row r="112" spans="1:40">
      <c r="A112" s="233" t="s">
        <v>621</v>
      </c>
      <c r="B112" s="233" t="s">
        <v>542</v>
      </c>
      <c r="C112" s="234"/>
      <c r="D112" s="233"/>
      <c r="F112" s="234"/>
      <c r="G112" s="233"/>
      <c r="H112" s="234"/>
      <c r="I112" s="233"/>
      <c r="N112" s="235"/>
      <c r="O112" s="236"/>
      <c r="P112" s="237"/>
      <c r="AA112" s="234"/>
      <c r="AB112" s="233"/>
      <c r="AM112" s="234"/>
      <c r="AN112" s="233"/>
    </row>
    <row r="113" spans="1:43">
      <c r="A113" s="233" t="s">
        <v>74</v>
      </c>
      <c r="B113" s="233" t="s">
        <v>540</v>
      </c>
      <c r="C113" s="234"/>
      <c r="D113" s="233"/>
      <c r="F113" s="234"/>
      <c r="G113" s="233"/>
      <c r="H113" s="234"/>
      <c r="I113" s="233"/>
      <c r="N113" s="235"/>
      <c r="O113" s="236"/>
      <c r="P113" s="237"/>
      <c r="AA113" s="234"/>
      <c r="AB113" s="233"/>
      <c r="AM113" s="234"/>
      <c r="AN113" s="233"/>
    </row>
    <row r="114" spans="1:43">
      <c r="A114" s="233" t="s">
        <v>26</v>
      </c>
      <c r="B114" s="233" t="s">
        <v>542</v>
      </c>
      <c r="C114" s="234">
        <v>39</v>
      </c>
      <c r="D114" s="233"/>
      <c r="F114" s="234"/>
      <c r="G114" s="233">
        <v>37</v>
      </c>
      <c r="H114" s="234"/>
      <c r="I114" s="233">
        <v>37</v>
      </c>
      <c r="L114">
        <v>36</v>
      </c>
      <c r="N114" s="235"/>
      <c r="O114" s="236"/>
      <c r="P114" s="237"/>
      <c r="Q114">
        <v>30</v>
      </c>
      <c r="X114">
        <v>27</v>
      </c>
      <c r="AA114" s="234">
        <v>26</v>
      </c>
      <c r="AB114" s="233">
        <v>25</v>
      </c>
      <c r="AE114">
        <v>25</v>
      </c>
      <c r="AJ114">
        <v>24</v>
      </c>
      <c r="AM114" s="234"/>
      <c r="AN114" s="233">
        <v>23</v>
      </c>
    </row>
    <row r="115" spans="1:43">
      <c r="A115" s="238" t="s">
        <v>32</v>
      </c>
      <c r="B115" s="233" t="s">
        <v>542</v>
      </c>
      <c r="C115">
        <v>35</v>
      </c>
      <c r="D115" s="233"/>
      <c r="E115">
        <v>32</v>
      </c>
      <c r="F115" s="234"/>
      <c r="G115" s="233">
        <v>29</v>
      </c>
      <c r="H115" s="234"/>
      <c r="I115" s="233">
        <v>27</v>
      </c>
      <c r="M115">
        <v>14</v>
      </c>
      <c r="N115" s="235"/>
      <c r="O115" s="236"/>
      <c r="P115" s="237"/>
      <c r="X115">
        <v>7</v>
      </c>
      <c r="AA115" s="234"/>
      <c r="AB115" s="233">
        <v>5</v>
      </c>
      <c r="AM115" s="234"/>
      <c r="AN115" s="233">
        <v>4</v>
      </c>
    </row>
    <row r="116" spans="1:43">
      <c r="A116" s="233" t="s">
        <v>50</v>
      </c>
      <c r="B116" s="233" t="s">
        <v>540</v>
      </c>
      <c r="C116" s="234">
        <v>32</v>
      </c>
      <c r="D116" s="233"/>
      <c r="F116" s="234"/>
      <c r="G116" s="233"/>
      <c r="H116" s="234"/>
      <c r="I116" s="233"/>
      <c r="N116" s="235"/>
      <c r="O116" s="236"/>
      <c r="P116" s="237"/>
      <c r="AA116" s="234"/>
      <c r="AB116" s="233"/>
      <c r="AM116" s="234"/>
      <c r="AN116" s="233"/>
      <c r="AQ116">
        <v>29</v>
      </c>
    </row>
    <row r="117" spans="1:43">
      <c r="A117" s="233" t="s">
        <v>622</v>
      </c>
      <c r="B117" s="233" t="s">
        <v>540</v>
      </c>
      <c r="C117" s="234"/>
      <c r="D117" s="233"/>
      <c r="F117" s="234">
        <v>40</v>
      </c>
      <c r="G117" s="233"/>
      <c r="H117" s="234">
        <v>40</v>
      </c>
      <c r="I117" s="233"/>
      <c r="J117">
        <v>36</v>
      </c>
      <c r="N117" s="235">
        <v>26</v>
      </c>
      <c r="O117" s="236"/>
      <c r="P117" s="237"/>
      <c r="AA117" s="234"/>
      <c r="AB117" s="233"/>
      <c r="AM117" s="234"/>
      <c r="AN117" s="233"/>
    </row>
    <row r="118" spans="1:43">
      <c r="A118" s="233" t="s">
        <v>623</v>
      </c>
      <c r="B118" s="233" t="s">
        <v>540</v>
      </c>
      <c r="C118" s="234">
        <v>32</v>
      </c>
      <c r="D118" s="233"/>
      <c r="E118">
        <v>28</v>
      </c>
      <c r="F118" s="234"/>
      <c r="G118" s="233"/>
      <c r="H118" s="234"/>
      <c r="I118" s="233"/>
      <c r="N118" s="235"/>
      <c r="O118" s="236"/>
      <c r="P118" s="237">
        <v>8</v>
      </c>
      <c r="S118">
        <v>3</v>
      </c>
      <c r="AA118" s="234"/>
      <c r="AB118" s="233"/>
      <c r="AE118">
        <v>3</v>
      </c>
      <c r="AM118" s="234"/>
      <c r="AN118" s="233"/>
    </row>
    <row r="119" spans="1:43">
      <c r="A119" s="233" t="s">
        <v>624</v>
      </c>
      <c r="B119" s="233" t="s">
        <v>540</v>
      </c>
      <c r="C119" s="234">
        <v>23</v>
      </c>
      <c r="D119" s="233"/>
      <c r="F119" s="234"/>
      <c r="G119" s="233"/>
      <c r="H119" s="234"/>
      <c r="I119" s="233"/>
      <c r="N119" s="235"/>
      <c r="O119" s="236"/>
      <c r="P119" s="237"/>
      <c r="AA119" s="234"/>
      <c r="AB119" s="233"/>
      <c r="AM119" s="234"/>
      <c r="AN119" s="233"/>
    </row>
    <row r="120" spans="1:43">
      <c r="A120" s="233" t="s">
        <v>36</v>
      </c>
      <c r="B120" s="233" t="s">
        <v>542</v>
      </c>
      <c r="C120" s="234">
        <v>41</v>
      </c>
      <c r="D120" s="233"/>
      <c r="F120" s="234"/>
      <c r="G120" s="233">
        <v>37</v>
      </c>
      <c r="H120" s="234"/>
      <c r="I120" s="233">
        <v>33</v>
      </c>
      <c r="N120" s="235"/>
      <c r="O120" s="236"/>
      <c r="P120" s="237"/>
      <c r="X120">
        <v>5</v>
      </c>
      <c r="AA120" s="234"/>
      <c r="AB120" s="233">
        <v>3</v>
      </c>
      <c r="AM120" s="234"/>
      <c r="AN120" s="233"/>
    </row>
    <row r="121" spans="1:43">
      <c r="A121" s="233" t="s">
        <v>43</v>
      </c>
      <c r="B121" s="233" t="s">
        <v>540</v>
      </c>
      <c r="C121" s="234">
        <v>43</v>
      </c>
      <c r="D121" s="233"/>
      <c r="E121">
        <v>43</v>
      </c>
      <c r="F121" s="234"/>
      <c r="G121" s="233">
        <v>41</v>
      </c>
      <c r="H121" s="234"/>
      <c r="I121" s="233">
        <v>35</v>
      </c>
      <c r="M121">
        <v>32</v>
      </c>
      <c r="N121" s="235"/>
      <c r="O121" s="236"/>
      <c r="P121" s="237">
        <v>24</v>
      </c>
      <c r="AA121" s="234"/>
      <c r="AB121" s="233"/>
      <c r="AD121">
        <v>13</v>
      </c>
      <c r="AM121" s="234"/>
      <c r="AN121" s="233"/>
    </row>
    <row r="122" spans="1:43">
      <c r="A122" s="233" t="s">
        <v>73</v>
      </c>
      <c r="B122" s="233" t="s">
        <v>540</v>
      </c>
      <c r="C122" s="234"/>
      <c r="D122" s="233"/>
      <c r="F122" s="234"/>
      <c r="G122" s="233"/>
      <c r="H122" s="234"/>
      <c r="I122" s="233"/>
      <c r="N122" s="235"/>
      <c r="O122" s="236"/>
      <c r="P122" s="237"/>
      <c r="AA122" s="234"/>
      <c r="AB122" s="233"/>
      <c r="AM122" s="234"/>
      <c r="AN122" s="233"/>
    </row>
    <row r="123" spans="1:43">
      <c r="A123" s="233" t="s">
        <v>625</v>
      </c>
      <c r="B123" s="233" t="s">
        <v>542</v>
      </c>
      <c r="C123" s="234">
        <v>28</v>
      </c>
      <c r="D123" s="233"/>
      <c r="F123" s="234"/>
      <c r="G123" s="233"/>
      <c r="H123" s="234">
        <v>19</v>
      </c>
      <c r="I123" s="233"/>
      <c r="L123">
        <v>16</v>
      </c>
      <c r="N123" s="235"/>
      <c r="O123" s="236">
        <v>13</v>
      </c>
      <c r="P123" s="237"/>
      <c r="AA123" s="234"/>
      <c r="AB123" s="233"/>
      <c r="AM123" s="234"/>
      <c r="AN123" s="233"/>
    </row>
    <row r="124" spans="1:43">
      <c r="A124" s="233" t="s">
        <v>626</v>
      </c>
      <c r="B124" s="233" t="s">
        <v>540</v>
      </c>
      <c r="C124" s="234">
        <v>32</v>
      </c>
      <c r="D124" s="233"/>
      <c r="F124" s="234">
        <v>25</v>
      </c>
      <c r="G124" s="233"/>
      <c r="H124" s="234">
        <v>7</v>
      </c>
      <c r="I124" s="233"/>
      <c r="N124" s="235"/>
      <c r="O124" s="236">
        <v>1</v>
      </c>
      <c r="P124" s="237"/>
      <c r="AA124" s="234"/>
      <c r="AB124" s="233">
        <v>1</v>
      </c>
      <c r="AM124" s="234"/>
      <c r="AN124" s="233"/>
    </row>
    <row r="125" spans="1:43">
      <c r="A125" s="233" t="s">
        <v>37</v>
      </c>
      <c r="B125" s="233" t="s">
        <v>540</v>
      </c>
      <c r="C125" s="234">
        <v>47</v>
      </c>
      <c r="D125" s="233"/>
      <c r="E125">
        <v>47</v>
      </c>
      <c r="F125" s="234"/>
      <c r="G125" s="233">
        <v>47</v>
      </c>
      <c r="H125" s="234"/>
      <c r="I125" s="233">
        <v>43</v>
      </c>
      <c r="N125" s="235"/>
      <c r="O125" s="236">
        <v>39</v>
      </c>
      <c r="P125" s="237"/>
      <c r="S125">
        <v>34</v>
      </c>
      <c r="W125">
        <v>30</v>
      </c>
      <c r="AA125" s="234"/>
      <c r="AB125" s="233"/>
      <c r="AC125">
        <v>24</v>
      </c>
      <c r="AH125">
        <v>19</v>
      </c>
      <c r="AL125">
        <v>19</v>
      </c>
      <c r="AM125" s="234"/>
      <c r="AN125" s="233"/>
    </row>
    <row r="126" spans="1:43">
      <c r="A126" s="233" t="s">
        <v>31</v>
      </c>
      <c r="B126" s="233" t="s">
        <v>540</v>
      </c>
      <c r="C126" s="234">
        <v>37</v>
      </c>
      <c r="D126" s="233"/>
      <c r="E126">
        <v>36</v>
      </c>
      <c r="F126" s="234">
        <v>36</v>
      </c>
      <c r="G126" s="233">
        <v>35</v>
      </c>
      <c r="H126" s="234"/>
      <c r="I126" s="233">
        <v>33</v>
      </c>
      <c r="N126" s="235"/>
      <c r="O126" s="236"/>
      <c r="P126" s="237"/>
      <c r="Q126">
        <v>26</v>
      </c>
      <c r="AA126" s="234"/>
      <c r="AB126" s="233">
        <v>25</v>
      </c>
      <c r="AM126" s="234"/>
      <c r="AN126" s="233">
        <v>22</v>
      </c>
    </row>
    <row r="127" spans="1:43">
      <c r="A127" s="233" t="s">
        <v>627</v>
      </c>
      <c r="B127" s="233" t="s">
        <v>542</v>
      </c>
      <c r="C127" s="234">
        <v>37</v>
      </c>
      <c r="D127" s="233"/>
      <c r="F127" s="234">
        <v>35</v>
      </c>
      <c r="G127" s="233"/>
      <c r="H127" s="234">
        <v>23</v>
      </c>
      <c r="I127" s="233"/>
      <c r="N127" s="235"/>
      <c r="O127" s="236"/>
      <c r="P127" s="237">
        <v>6</v>
      </c>
      <c r="AA127" s="234"/>
      <c r="AB127" s="233">
        <v>3</v>
      </c>
      <c r="AM127" s="234"/>
      <c r="AN127" s="233"/>
    </row>
    <row r="128" spans="1:43">
      <c r="A128" s="233" t="s">
        <v>628</v>
      </c>
      <c r="B128" s="233" t="s">
        <v>540</v>
      </c>
      <c r="C128" s="234"/>
      <c r="D128" s="233"/>
      <c r="F128" s="234"/>
      <c r="G128" s="233"/>
      <c r="H128" s="234"/>
      <c r="I128" s="233"/>
      <c r="N128" s="235"/>
      <c r="O128" s="236"/>
      <c r="P128" s="237"/>
      <c r="AA128" s="234"/>
      <c r="AB128" s="233"/>
      <c r="AM128" s="234"/>
      <c r="AN128" s="233"/>
    </row>
    <row r="129" spans="1:40">
      <c r="A129" s="233" t="s">
        <v>629</v>
      </c>
      <c r="B129" s="233" t="s">
        <v>540</v>
      </c>
      <c r="C129" s="234">
        <v>39</v>
      </c>
      <c r="D129" s="233">
        <v>41</v>
      </c>
      <c r="F129" s="234"/>
      <c r="G129" s="233"/>
      <c r="H129" s="234"/>
      <c r="I129" s="233"/>
      <c r="N129" s="235"/>
      <c r="O129" s="236"/>
      <c r="P129" s="237"/>
      <c r="AA129" s="234"/>
      <c r="AB129" s="233"/>
      <c r="AM129" s="234"/>
      <c r="AN129" s="233"/>
    </row>
    <row r="130" spans="1:40">
      <c r="A130" s="233" t="s">
        <v>630</v>
      </c>
      <c r="B130" s="233" t="s">
        <v>542</v>
      </c>
      <c r="C130" s="234"/>
      <c r="D130" s="233"/>
      <c r="F130" s="234"/>
      <c r="G130" s="233"/>
      <c r="H130" s="234"/>
      <c r="I130" s="233"/>
      <c r="N130" s="235"/>
      <c r="O130" s="236"/>
      <c r="P130" s="237"/>
      <c r="AA130" s="234"/>
      <c r="AB130" s="233"/>
      <c r="AM130" s="234"/>
      <c r="AN130" s="233"/>
    </row>
    <row r="131" spans="1:40">
      <c r="A131" s="233" t="s">
        <v>631</v>
      </c>
      <c r="B131" s="233" t="s">
        <v>540</v>
      </c>
      <c r="C131" s="234">
        <v>36</v>
      </c>
      <c r="D131" s="233"/>
      <c r="F131" s="234">
        <v>34</v>
      </c>
      <c r="G131" s="233"/>
      <c r="H131" s="234">
        <v>34</v>
      </c>
      <c r="I131" s="233"/>
      <c r="L131">
        <v>32</v>
      </c>
      <c r="N131" s="235"/>
      <c r="O131" s="236"/>
      <c r="P131" s="237"/>
      <c r="AA131" s="234">
        <v>23</v>
      </c>
      <c r="AB131" s="233"/>
      <c r="AM131" s="234">
        <v>25</v>
      </c>
      <c r="AN131" s="233"/>
    </row>
    <row r="132" spans="1:40">
      <c r="A132" s="233" t="s">
        <v>632</v>
      </c>
      <c r="B132" s="233" t="s">
        <v>542</v>
      </c>
      <c r="C132" s="234">
        <v>30</v>
      </c>
      <c r="D132" s="233"/>
      <c r="E132">
        <v>28</v>
      </c>
      <c r="F132" s="234"/>
      <c r="G132" s="233">
        <v>27</v>
      </c>
      <c r="H132" s="234">
        <v>32</v>
      </c>
      <c r="I132" s="233">
        <v>32</v>
      </c>
      <c r="L132">
        <v>30</v>
      </c>
      <c r="N132" s="235"/>
      <c r="O132" s="236"/>
      <c r="P132" s="237"/>
      <c r="AA132" s="234">
        <v>2</v>
      </c>
      <c r="AB132" s="233"/>
      <c r="AM132" s="234"/>
      <c r="AN132" s="233"/>
    </row>
    <row r="133" spans="1:40">
      <c r="A133" s="233" t="s">
        <v>633</v>
      </c>
      <c r="B133" s="233" t="s">
        <v>542</v>
      </c>
      <c r="C133" s="234">
        <v>38</v>
      </c>
      <c r="D133" s="233"/>
      <c r="F133" s="234"/>
      <c r="G133" s="233">
        <v>35</v>
      </c>
      <c r="H133" s="234"/>
      <c r="I133" s="233"/>
      <c r="J133">
        <v>35</v>
      </c>
      <c r="K133">
        <v>35</v>
      </c>
      <c r="N133" s="235"/>
      <c r="O133" s="236"/>
      <c r="P133" s="237"/>
      <c r="Q133">
        <v>33</v>
      </c>
      <c r="X133">
        <v>33</v>
      </c>
      <c r="AA133" s="234"/>
      <c r="AB133" s="233"/>
      <c r="AM133" s="234"/>
      <c r="AN133" s="233"/>
    </row>
    <row r="134" spans="1:40">
      <c r="A134" s="233" t="s">
        <v>634</v>
      </c>
      <c r="B134" s="233" t="s">
        <v>540</v>
      </c>
      <c r="C134" s="234">
        <v>27</v>
      </c>
      <c r="D134" s="233"/>
      <c r="F134" s="234"/>
      <c r="G134" s="233"/>
      <c r="H134" s="234"/>
      <c r="I134" s="233"/>
      <c r="N134" s="235"/>
      <c r="O134" s="236">
        <v>15</v>
      </c>
      <c r="P134" s="237"/>
      <c r="R134">
        <v>13</v>
      </c>
      <c r="Y134">
        <v>11</v>
      </c>
      <c r="AA134" s="234"/>
      <c r="AB134" s="233">
        <v>11</v>
      </c>
      <c r="AH134">
        <v>11</v>
      </c>
      <c r="AM134" s="234"/>
      <c r="AN134" s="233"/>
    </row>
    <row r="135" spans="1:40">
      <c r="A135" s="233" t="s">
        <v>635</v>
      </c>
      <c r="B135" s="233" t="s">
        <v>540</v>
      </c>
      <c r="C135" s="234">
        <v>29</v>
      </c>
      <c r="D135" s="233"/>
      <c r="E135">
        <v>25</v>
      </c>
      <c r="F135" s="234"/>
      <c r="G135" s="233"/>
      <c r="H135" s="234"/>
      <c r="I135" s="233"/>
      <c r="N135" s="235"/>
      <c r="O135" s="236"/>
      <c r="P135" s="237">
        <v>11</v>
      </c>
      <c r="Q135">
        <v>9</v>
      </c>
      <c r="V135">
        <v>3</v>
      </c>
      <c r="AA135" s="234"/>
      <c r="AB135" s="233">
        <v>1</v>
      </c>
      <c r="AM135" s="234"/>
      <c r="AN135" s="233"/>
    </row>
    <row r="136" spans="1:40">
      <c r="A136" s="233" t="s">
        <v>25</v>
      </c>
      <c r="B136" s="233" t="s">
        <v>542</v>
      </c>
      <c r="C136" s="234">
        <v>34</v>
      </c>
      <c r="D136" s="233"/>
      <c r="E136">
        <v>33</v>
      </c>
      <c r="F136" s="234"/>
      <c r="G136" s="233"/>
      <c r="H136" s="234">
        <v>33</v>
      </c>
      <c r="I136" s="233"/>
      <c r="N136" s="235">
        <v>29</v>
      </c>
      <c r="O136" s="236"/>
      <c r="P136" s="237"/>
      <c r="AA136" s="234"/>
      <c r="AB136" s="233"/>
      <c r="AM136" s="234"/>
      <c r="AN136" s="233"/>
    </row>
    <row r="137" spans="1:40">
      <c r="A137" s="233" t="s">
        <v>636</v>
      </c>
      <c r="B137" s="233" t="s">
        <v>542</v>
      </c>
      <c r="C137" s="234">
        <v>38</v>
      </c>
      <c r="D137" s="233"/>
      <c r="F137" s="234">
        <v>28</v>
      </c>
      <c r="G137" s="233"/>
      <c r="H137" s="234">
        <v>28</v>
      </c>
      <c r="I137" s="233"/>
      <c r="M137">
        <v>23</v>
      </c>
      <c r="N137" s="235"/>
      <c r="O137" s="236"/>
      <c r="P137" s="237"/>
      <c r="Q137">
        <v>4</v>
      </c>
      <c r="AA137" s="234">
        <v>7</v>
      </c>
      <c r="AB137" s="233"/>
      <c r="AM137" s="234"/>
      <c r="AN137" s="233"/>
    </row>
    <row r="138" spans="1:40">
      <c r="A138" s="233" t="s">
        <v>8</v>
      </c>
      <c r="B138" s="233" t="s">
        <v>540</v>
      </c>
      <c r="C138" s="234">
        <v>40</v>
      </c>
      <c r="D138" s="233"/>
      <c r="F138" s="234"/>
      <c r="G138" s="233"/>
      <c r="H138" s="234"/>
      <c r="I138" s="233">
        <v>34</v>
      </c>
      <c r="N138" s="235"/>
      <c r="O138" s="236"/>
      <c r="P138" s="237"/>
      <c r="AA138" s="234"/>
      <c r="AB138" s="233"/>
      <c r="AM138" s="234"/>
      <c r="AN138" s="233"/>
    </row>
    <row r="139" spans="1:40">
      <c r="A139" s="233" t="s">
        <v>637</v>
      </c>
      <c r="B139" s="233" t="s">
        <v>540</v>
      </c>
      <c r="C139" s="234">
        <v>29</v>
      </c>
      <c r="D139" s="233"/>
      <c r="E139">
        <v>25</v>
      </c>
      <c r="F139" s="234"/>
      <c r="G139" s="233"/>
      <c r="H139" s="234">
        <v>17</v>
      </c>
      <c r="I139" s="233"/>
      <c r="N139" s="235"/>
      <c r="O139" s="236"/>
      <c r="P139" s="237"/>
      <c r="AA139" s="234"/>
      <c r="AB139" s="233"/>
      <c r="AM139" s="234"/>
      <c r="AN139" s="233"/>
    </row>
    <row r="140" spans="1:40">
      <c r="A140" s="233" t="s">
        <v>72</v>
      </c>
      <c r="B140" s="233" t="s">
        <v>540</v>
      </c>
      <c r="C140" s="234"/>
      <c r="D140" s="233"/>
      <c r="F140" s="234"/>
      <c r="G140" s="233"/>
      <c r="H140" s="234"/>
      <c r="I140" s="233"/>
      <c r="N140" s="235"/>
      <c r="O140" s="236"/>
      <c r="P140" s="237"/>
      <c r="AA140" s="234"/>
      <c r="AB140" s="233"/>
      <c r="AM140" s="234"/>
      <c r="AN140" s="233"/>
    </row>
    <row r="141" spans="1:40">
      <c r="A141" s="233" t="s">
        <v>2</v>
      </c>
      <c r="B141" s="233" t="s">
        <v>540</v>
      </c>
      <c r="C141" s="234">
        <v>43</v>
      </c>
      <c r="D141" s="233"/>
      <c r="F141" s="234">
        <v>37</v>
      </c>
      <c r="G141" s="233"/>
      <c r="H141" s="234">
        <v>37</v>
      </c>
      <c r="I141" s="233"/>
      <c r="N141" s="235">
        <v>30</v>
      </c>
      <c r="O141" s="236"/>
      <c r="P141" s="237">
        <v>25</v>
      </c>
      <c r="R141">
        <v>23</v>
      </c>
      <c r="T141">
        <v>21</v>
      </c>
      <c r="AA141" s="234"/>
      <c r="AB141" s="233">
        <v>22</v>
      </c>
      <c r="AM141" s="234"/>
      <c r="AN141" s="233"/>
    </row>
    <row r="142" spans="1:40">
      <c r="A142" s="233" t="s">
        <v>638</v>
      </c>
      <c r="B142" s="233" t="s">
        <v>540</v>
      </c>
      <c r="C142" s="234">
        <v>43</v>
      </c>
      <c r="D142" s="233"/>
      <c r="F142" s="234">
        <v>37</v>
      </c>
      <c r="G142" s="233"/>
      <c r="H142" s="234">
        <v>33</v>
      </c>
      <c r="I142" s="233">
        <v>31</v>
      </c>
      <c r="L142">
        <v>25</v>
      </c>
      <c r="N142" s="235"/>
      <c r="O142" s="236"/>
      <c r="P142" s="237">
        <v>6</v>
      </c>
      <c r="T142">
        <v>4</v>
      </c>
      <c r="AA142" s="234"/>
      <c r="AB142" s="233"/>
      <c r="AM142" s="234"/>
      <c r="AN142" s="233"/>
    </row>
    <row r="143" spans="1:40">
      <c r="A143" s="233" t="s">
        <v>1</v>
      </c>
      <c r="B143" s="233" t="s">
        <v>542</v>
      </c>
      <c r="C143" s="234"/>
      <c r="D143" s="233"/>
      <c r="F143" s="234"/>
      <c r="G143" s="233"/>
      <c r="H143" s="234"/>
      <c r="I143" s="233">
        <v>22</v>
      </c>
      <c r="N143" s="235"/>
      <c r="O143" s="236"/>
      <c r="P143" s="237"/>
      <c r="S143">
        <v>24</v>
      </c>
      <c r="T143">
        <v>24</v>
      </c>
      <c r="U143">
        <v>24</v>
      </c>
      <c r="AA143" s="234"/>
      <c r="AB143" s="233"/>
      <c r="AC143">
        <v>21</v>
      </c>
      <c r="AF143">
        <v>20</v>
      </c>
      <c r="AM143" s="234"/>
      <c r="AN143" s="233"/>
    </row>
    <row r="144" spans="1:40">
      <c r="A144" s="233" t="s">
        <v>70</v>
      </c>
      <c r="B144" s="233" t="s">
        <v>540</v>
      </c>
      <c r="C144" s="234"/>
      <c r="D144" s="233"/>
      <c r="F144" s="234"/>
      <c r="G144" s="233"/>
      <c r="H144" s="234"/>
      <c r="I144" s="233"/>
      <c r="N144" s="235"/>
      <c r="O144" s="236"/>
      <c r="P144" s="237"/>
      <c r="AA144" s="234"/>
      <c r="AB144" s="233"/>
      <c r="AM144" s="234"/>
      <c r="AN144" s="233"/>
    </row>
    <row r="145" spans="1:40">
      <c r="A145" s="233" t="s">
        <v>71</v>
      </c>
      <c r="B145" s="233" t="s">
        <v>542</v>
      </c>
      <c r="C145" s="234"/>
      <c r="D145" s="233"/>
      <c r="F145" s="234"/>
      <c r="G145" s="233"/>
      <c r="H145" s="234"/>
      <c r="I145" s="233"/>
      <c r="N145" s="235"/>
      <c r="O145" s="236"/>
      <c r="P145" s="237"/>
      <c r="AA145" s="234"/>
      <c r="AB145" s="233"/>
      <c r="AM145" s="234"/>
      <c r="AN145" s="233"/>
    </row>
    <row r="146" spans="1:40">
      <c r="A146" s="233" t="s">
        <v>639</v>
      </c>
      <c r="B146" s="233" t="s">
        <v>542</v>
      </c>
      <c r="C146" s="234"/>
      <c r="D146" s="233"/>
      <c r="F146" s="234"/>
      <c r="G146" s="233"/>
      <c r="H146" s="234"/>
      <c r="I146" s="233"/>
      <c r="N146" s="235"/>
      <c r="O146" s="236"/>
      <c r="P146" s="237"/>
      <c r="AA146" s="234"/>
      <c r="AB146" s="233"/>
      <c r="AM146" s="234"/>
      <c r="AN146" s="233"/>
    </row>
    <row r="147" spans="1:40">
      <c r="A147" s="233" t="s">
        <v>6</v>
      </c>
      <c r="B147" s="233" t="s">
        <v>542</v>
      </c>
      <c r="C147" s="234">
        <v>33</v>
      </c>
      <c r="D147" s="233"/>
      <c r="F147" s="234"/>
      <c r="G147" s="233"/>
      <c r="H147" s="234"/>
      <c r="I147" s="233"/>
      <c r="J147">
        <v>31</v>
      </c>
      <c r="N147" s="235">
        <v>27</v>
      </c>
      <c r="O147" s="236"/>
      <c r="P147" s="237">
        <v>27</v>
      </c>
      <c r="AA147" s="234"/>
      <c r="AB147" s="233"/>
      <c r="AM147" s="234"/>
      <c r="AN147" s="233"/>
    </row>
    <row r="148" spans="1:40">
      <c r="A148" s="233" t="s">
        <v>640</v>
      </c>
      <c r="B148" s="233" t="s">
        <v>542</v>
      </c>
      <c r="C148" s="234">
        <v>43</v>
      </c>
      <c r="D148" s="233"/>
      <c r="E148">
        <v>41</v>
      </c>
      <c r="F148" s="234">
        <v>40</v>
      </c>
      <c r="G148" s="233">
        <v>38</v>
      </c>
      <c r="H148" s="234">
        <v>37</v>
      </c>
      <c r="I148" s="233">
        <v>37</v>
      </c>
      <c r="K148">
        <v>34</v>
      </c>
      <c r="N148" s="235">
        <v>34</v>
      </c>
      <c r="O148" s="236"/>
      <c r="P148" s="237">
        <v>32</v>
      </c>
      <c r="Q148">
        <v>31</v>
      </c>
      <c r="T148">
        <v>30</v>
      </c>
      <c r="W148">
        <v>29</v>
      </c>
      <c r="Z148">
        <v>11</v>
      </c>
      <c r="AA148" s="234"/>
      <c r="AB148" s="233"/>
      <c r="AF148">
        <v>7</v>
      </c>
      <c r="AM148" s="234"/>
      <c r="AN148" s="233"/>
    </row>
    <row r="149" spans="1:40">
      <c r="A149" s="233" t="s">
        <v>641</v>
      </c>
      <c r="B149" s="233" t="s">
        <v>540</v>
      </c>
      <c r="C149" s="234">
        <v>21</v>
      </c>
      <c r="D149" s="233"/>
      <c r="F149" s="234">
        <v>20</v>
      </c>
      <c r="G149" s="233"/>
      <c r="H149" s="234">
        <v>19</v>
      </c>
      <c r="I149" s="233"/>
      <c r="J149">
        <v>19</v>
      </c>
      <c r="M149">
        <v>18</v>
      </c>
      <c r="N149" s="235"/>
      <c r="O149" s="236"/>
      <c r="P149" s="237"/>
      <c r="Q149">
        <v>3</v>
      </c>
      <c r="AA149" s="234"/>
      <c r="AB149" s="233"/>
      <c r="AM149" s="234"/>
      <c r="AN149" s="233"/>
    </row>
    <row r="150" spans="1:40">
      <c r="A150" s="233" t="s">
        <v>642</v>
      </c>
      <c r="B150" s="233" t="s">
        <v>540</v>
      </c>
      <c r="C150" s="234">
        <v>39</v>
      </c>
      <c r="D150" s="233"/>
      <c r="E150">
        <v>36</v>
      </c>
      <c r="F150" s="234">
        <v>35</v>
      </c>
      <c r="G150" s="233"/>
      <c r="H150" s="234">
        <v>35</v>
      </c>
      <c r="I150" s="233"/>
      <c r="J150">
        <v>34</v>
      </c>
      <c r="M150">
        <v>33</v>
      </c>
      <c r="N150" s="235"/>
      <c r="O150" s="236">
        <v>33</v>
      </c>
      <c r="P150" s="237"/>
      <c r="Q150">
        <v>32</v>
      </c>
      <c r="S150">
        <v>30</v>
      </c>
      <c r="AA150" s="234"/>
      <c r="AB150" s="233"/>
      <c r="AM150" s="234"/>
      <c r="AN150" s="233"/>
    </row>
    <row r="151" spans="1:40">
      <c r="A151" s="233" t="s">
        <v>69</v>
      </c>
      <c r="B151" s="233" t="s">
        <v>540</v>
      </c>
      <c r="C151" s="234"/>
      <c r="D151" s="233"/>
      <c r="F151" s="234"/>
      <c r="G151" s="233"/>
      <c r="H151" s="234"/>
      <c r="I151" s="233"/>
      <c r="N151" s="235"/>
      <c r="O151" s="236"/>
      <c r="P151" s="237"/>
      <c r="AA151" s="234"/>
      <c r="AB151" s="233"/>
      <c r="AM151" s="234"/>
      <c r="AN151" s="233"/>
    </row>
    <row r="152" spans="1:40">
      <c r="A152" s="233" t="s">
        <v>643</v>
      </c>
      <c r="B152" s="233" t="s">
        <v>540</v>
      </c>
      <c r="C152" s="234">
        <v>40</v>
      </c>
      <c r="D152" s="233"/>
      <c r="F152" s="234">
        <v>37</v>
      </c>
      <c r="G152" s="233"/>
      <c r="H152" s="234">
        <v>35</v>
      </c>
      <c r="I152" s="233"/>
      <c r="J152">
        <v>30</v>
      </c>
      <c r="N152" s="235"/>
      <c r="O152" s="236"/>
      <c r="P152" s="237">
        <v>18</v>
      </c>
      <c r="U152">
        <v>17</v>
      </c>
      <c r="Z152">
        <v>16</v>
      </c>
      <c r="AA152" s="234"/>
      <c r="AB152" s="233"/>
      <c r="AC152">
        <v>15</v>
      </c>
      <c r="AM152" s="234"/>
      <c r="AN152" s="233"/>
    </row>
    <row r="153" spans="1:40">
      <c r="A153" s="233" t="s">
        <v>644</v>
      </c>
      <c r="B153" s="233" t="s">
        <v>542</v>
      </c>
      <c r="C153" s="234">
        <v>39</v>
      </c>
      <c r="D153" s="233"/>
      <c r="F153" s="234"/>
      <c r="G153" s="233">
        <v>29</v>
      </c>
      <c r="H153" s="234">
        <v>18</v>
      </c>
      <c r="I153" s="233"/>
      <c r="N153" s="235">
        <v>9</v>
      </c>
      <c r="O153" s="236"/>
      <c r="P153" s="237">
        <v>6</v>
      </c>
      <c r="U153">
        <v>3</v>
      </c>
      <c r="AA153" s="234"/>
      <c r="AB153" s="233"/>
      <c r="AM153" s="234"/>
      <c r="AN153" s="233"/>
    </row>
    <row r="154" spans="1:40">
      <c r="A154" s="233" t="s">
        <v>67</v>
      </c>
      <c r="B154" s="233" t="s">
        <v>540</v>
      </c>
      <c r="C154" s="234"/>
      <c r="D154" s="233"/>
      <c r="F154" s="234"/>
      <c r="G154" s="233"/>
      <c r="H154" s="234"/>
      <c r="I154" s="233"/>
      <c r="N154" s="235"/>
      <c r="O154" s="236"/>
      <c r="P154" s="237"/>
      <c r="AA154" s="234"/>
      <c r="AB154" s="233"/>
      <c r="AM154" s="234"/>
      <c r="AN154" s="233"/>
    </row>
    <row r="155" spans="1:40">
      <c r="A155" s="233" t="s">
        <v>645</v>
      </c>
      <c r="B155" s="233" t="s">
        <v>544</v>
      </c>
      <c r="C155" s="234">
        <v>32</v>
      </c>
      <c r="D155" s="233"/>
      <c r="E155">
        <v>28</v>
      </c>
      <c r="F155" s="234"/>
      <c r="G155" s="233">
        <v>24</v>
      </c>
      <c r="H155" s="234"/>
      <c r="I155" s="233"/>
      <c r="J155">
        <v>25</v>
      </c>
      <c r="M155">
        <v>22</v>
      </c>
      <c r="N155" s="235"/>
      <c r="O155" s="236"/>
      <c r="P155" s="237">
        <v>24</v>
      </c>
      <c r="AA155" s="234"/>
      <c r="AB155" s="233"/>
      <c r="AM155" s="234"/>
      <c r="AN155" s="233"/>
    </row>
    <row r="156" spans="1:40">
      <c r="A156" s="233" t="s">
        <v>68</v>
      </c>
      <c r="B156" s="233" t="s">
        <v>542</v>
      </c>
      <c r="C156" s="234"/>
      <c r="D156" s="233"/>
      <c r="F156" s="234"/>
      <c r="G156" s="233"/>
      <c r="H156" s="234"/>
      <c r="I156" s="233"/>
      <c r="N156" s="235"/>
      <c r="O156" s="236"/>
      <c r="P156" s="237"/>
      <c r="AA156" s="234"/>
      <c r="AB156" s="233"/>
      <c r="AM156" s="234"/>
      <c r="AN156" s="233"/>
    </row>
    <row r="157" spans="1:40">
      <c r="A157" s="233" t="s">
        <v>66</v>
      </c>
      <c r="B157" s="233" t="s">
        <v>542</v>
      </c>
      <c r="C157" s="234">
        <v>37</v>
      </c>
      <c r="D157" s="233">
        <v>35</v>
      </c>
      <c r="F157" s="234"/>
      <c r="G157" s="233"/>
      <c r="H157" s="234"/>
      <c r="I157" s="233"/>
      <c r="N157" s="235"/>
      <c r="O157" s="236"/>
      <c r="P157" s="237"/>
      <c r="AA157" s="234"/>
      <c r="AB157" s="233"/>
      <c r="AM157" s="234"/>
      <c r="AN157" s="233"/>
    </row>
    <row r="158" spans="1:40">
      <c r="A158" s="233" t="s">
        <v>646</v>
      </c>
      <c r="B158" s="233" t="s">
        <v>540</v>
      </c>
      <c r="C158" s="234">
        <v>41</v>
      </c>
      <c r="D158" s="233"/>
      <c r="F158" s="234"/>
      <c r="G158" s="233">
        <v>40</v>
      </c>
      <c r="H158" s="234"/>
      <c r="I158" s="233"/>
      <c r="J158">
        <v>40</v>
      </c>
      <c r="M158">
        <v>40</v>
      </c>
      <c r="N158" s="235"/>
      <c r="O158" s="236"/>
      <c r="P158" s="237"/>
      <c r="AA158" s="234"/>
      <c r="AB158" s="233"/>
      <c r="AM158" s="234"/>
      <c r="AN158" s="233"/>
    </row>
    <row r="159" spans="1:40">
      <c r="A159" s="233" t="s">
        <v>647</v>
      </c>
      <c r="B159" s="233" t="s">
        <v>544</v>
      </c>
      <c r="C159" s="234">
        <v>31</v>
      </c>
      <c r="D159" s="233"/>
      <c r="E159">
        <v>32</v>
      </c>
      <c r="F159" s="234">
        <v>33</v>
      </c>
      <c r="G159" s="233"/>
      <c r="H159" s="234">
        <v>30</v>
      </c>
      <c r="I159" s="233"/>
      <c r="K159">
        <v>22</v>
      </c>
      <c r="N159" s="235"/>
      <c r="O159" s="236">
        <v>27</v>
      </c>
      <c r="P159" s="237"/>
      <c r="AA159" s="234"/>
      <c r="AB159" s="233"/>
      <c r="AC159">
        <v>8</v>
      </c>
      <c r="AM159" s="234"/>
      <c r="AN159" s="233"/>
    </row>
    <row r="160" spans="1:40">
      <c r="A160" s="233" t="s">
        <v>65</v>
      </c>
      <c r="B160" s="233" t="s">
        <v>540</v>
      </c>
      <c r="C160" s="234"/>
      <c r="D160" s="233"/>
      <c r="F160" s="234"/>
      <c r="G160" s="233"/>
      <c r="H160" s="234"/>
      <c r="I160" s="233"/>
      <c r="N160" s="235"/>
      <c r="O160" s="236"/>
      <c r="P160" s="237"/>
      <c r="AA160" s="234"/>
      <c r="AB160" s="233"/>
      <c r="AM160" s="234"/>
      <c r="AN160" s="233"/>
    </row>
    <row r="161" spans="1:40">
      <c r="A161" s="233" t="s">
        <v>648</v>
      </c>
      <c r="B161" s="233" t="s">
        <v>542</v>
      </c>
      <c r="C161" s="234"/>
      <c r="D161" s="233"/>
      <c r="F161" s="234"/>
      <c r="G161" s="233">
        <v>33</v>
      </c>
      <c r="H161" s="234"/>
      <c r="I161" s="233">
        <v>32</v>
      </c>
      <c r="L161">
        <v>32</v>
      </c>
      <c r="N161" s="235"/>
      <c r="O161" s="236"/>
      <c r="P161" s="237"/>
      <c r="U161">
        <v>27</v>
      </c>
      <c r="X161">
        <v>27</v>
      </c>
      <c r="AA161" s="234"/>
      <c r="AB161" s="233"/>
      <c r="AM161" s="234"/>
      <c r="AN161" s="233"/>
    </row>
    <row r="162" spans="1:40">
      <c r="A162" s="233" t="s">
        <v>649</v>
      </c>
      <c r="B162" s="233" t="s">
        <v>540</v>
      </c>
      <c r="C162" s="234"/>
      <c r="D162" s="233"/>
      <c r="F162" s="234">
        <v>20</v>
      </c>
      <c r="G162" s="233"/>
      <c r="H162" s="234"/>
      <c r="I162" s="233">
        <v>20</v>
      </c>
      <c r="L162">
        <v>16</v>
      </c>
      <c r="M162">
        <v>16</v>
      </c>
      <c r="N162" s="235">
        <v>16</v>
      </c>
      <c r="O162" s="236"/>
      <c r="P162" s="237">
        <v>14</v>
      </c>
      <c r="R162">
        <v>14</v>
      </c>
      <c r="T162">
        <v>11</v>
      </c>
      <c r="V162">
        <v>3</v>
      </c>
      <c r="AA162" s="234"/>
      <c r="AB162" s="233"/>
      <c r="AM162" s="234"/>
      <c r="AN162" s="233"/>
    </row>
    <row r="163" spans="1:40">
      <c r="A163" s="233" t="s">
        <v>650</v>
      </c>
      <c r="B163" s="233" t="s">
        <v>574</v>
      </c>
      <c r="C163" s="234"/>
      <c r="D163" s="233"/>
      <c r="F163" s="234">
        <v>34</v>
      </c>
      <c r="G163" s="233"/>
      <c r="H163" s="234"/>
      <c r="I163" s="233"/>
      <c r="N163" s="235"/>
      <c r="O163" s="236"/>
      <c r="P163" s="237">
        <v>7</v>
      </c>
      <c r="AA163" s="234"/>
      <c r="AB163" s="233"/>
      <c r="AM163" s="234"/>
      <c r="AN163" s="233"/>
    </row>
    <row r="164" spans="1:40">
      <c r="A164" s="233" t="s">
        <v>651</v>
      </c>
      <c r="B164" s="233" t="s">
        <v>542</v>
      </c>
      <c r="C164" s="234"/>
      <c r="D164" s="233"/>
      <c r="F164" s="234"/>
      <c r="G164" s="233">
        <v>38</v>
      </c>
      <c r="H164" s="234"/>
      <c r="I164" s="233"/>
      <c r="N164" s="235"/>
      <c r="O164" s="236"/>
      <c r="P164" s="237"/>
      <c r="AA164" s="234"/>
      <c r="AB164" s="233"/>
      <c r="AM164" s="234"/>
      <c r="AN164" s="233"/>
    </row>
    <row r="165" spans="1:40">
      <c r="A165" s="233" t="s">
        <v>652</v>
      </c>
      <c r="B165" s="233" t="s">
        <v>540</v>
      </c>
      <c r="C165" s="234">
        <v>44</v>
      </c>
      <c r="D165" s="233"/>
      <c r="F165" s="234"/>
      <c r="G165" s="233">
        <v>28</v>
      </c>
      <c r="H165" s="234"/>
      <c r="I165" s="233">
        <v>25</v>
      </c>
      <c r="N165" s="235"/>
      <c r="O165" s="236">
        <v>9</v>
      </c>
      <c r="P165" s="237">
        <v>11</v>
      </c>
      <c r="AA165" s="234"/>
      <c r="AB165" s="233"/>
      <c r="AC165">
        <v>4</v>
      </c>
      <c r="AM165" s="234"/>
      <c r="AN165" s="233"/>
    </row>
    <row r="166" spans="1:40">
      <c r="A166" s="233" t="s">
        <v>653</v>
      </c>
      <c r="B166" s="233" t="s">
        <v>540</v>
      </c>
      <c r="C166" s="234"/>
      <c r="D166" s="233"/>
      <c r="F166" s="234"/>
      <c r="G166" s="233">
        <v>44</v>
      </c>
      <c r="H166" s="234"/>
      <c r="I166" s="233"/>
      <c r="J166">
        <v>40</v>
      </c>
      <c r="L166">
        <v>37</v>
      </c>
      <c r="M166">
        <v>35</v>
      </c>
      <c r="N166" s="235"/>
      <c r="O166" s="236">
        <v>34</v>
      </c>
      <c r="P166" s="237"/>
      <c r="AA166" s="234"/>
      <c r="AB166" s="233"/>
      <c r="AM166" s="234"/>
      <c r="AN166" s="233"/>
    </row>
    <row r="167" spans="1:40">
      <c r="A167" s="233" t="s">
        <v>654</v>
      </c>
      <c r="B167" s="233" t="s">
        <v>542</v>
      </c>
      <c r="C167" s="234"/>
      <c r="D167" s="233"/>
      <c r="F167" s="234"/>
      <c r="G167" s="233">
        <v>35</v>
      </c>
      <c r="H167" s="234"/>
      <c r="I167" s="233"/>
      <c r="J167">
        <v>36</v>
      </c>
      <c r="N167" s="235">
        <v>36</v>
      </c>
      <c r="O167" s="236"/>
      <c r="P167" s="237"/>
      <c r="AA167" s="234"/>
      <c r="AB167" s="233"/>
      <c r="AM167" s="234"/>
      <c r="AN167" s="233"/>
    </row>
    <row r="168" spans="1:40">
      <c r="A168" s="233" t="s">
        <v>655</v>
      </c>
      <c r="B168" s="233" t="s">
        <v>540</v>
      </c>
      <c r="C168" s="234"/>
      <c r="D168" s="233"/>
      <c r="F168" s="234"/>
      <c r="G168" s="233"/>
      <c r="H168" s="234"/>
      <c r="I168" s="233"/>
      <c r="N168" s="235"/>
      <c r="O168" s="236"/>
      <c r="P168" s="237"/>
      <c r="AA168" s="234"/>
      <c r="AB168" s="233"/>
      <c r="AM168" s="234"/>
      <c r="AN168" s="233"/>
    </row>
    <row r="169" spans="1:40">
      <c r="A169" s="233" t="s">
        <v>656</v>
      </c>
      <c r="B169" s="233" t="s">
        <v>540</v>
      </c>
      <c r="C169" s="234"/>
      <c r="D169" s="233"/>
      <c r="F169" s="234"/>
      <c r="G169" s="233">
        <v>37</v>
      </c>
      <c r="H169" s="234"/>
      <c r="I169" s="233"/>
      <c r="K169">
        <v>35</v>
      </c>
      <c r="N169" s="235"/>
      <c r="O169" s="236"/>
      <c r="P169" s="237">
        <v>37</v>
      </c>
      <c r="AA169" s="234"/>
      <c r="AB169" s="233"/>
      <c r="AM169" s="234"/>
      <c r="AN169" s="233"/>
    </row>
    <row r="170" spans="1:40">
      <c r="A170" s="233" t="s">
        <v>657</v>
      </c>
      <c r="B170" s="233" t="s">
        <v>544</v>
      </c>
      <c r="C170" s="234"/>
      <c r="D170" s="233"/>
      <c r="F170" s="234"/>
      <c r="G170" s="233"/>
      <c r="H170" s="234"/>
      <c r="I170" s="233"/>
      <c r="N170" s="235"/>
      <c r="O170" s="236"/>
      <c r="P170" s="237"/>
      <c r="AA170" s="234"/>
      <c r="AB170" s="233"/>
      <c r="AM170" s="234"/>
      <c r="AN170" s="233"/>
    </row>
    <row r="171" spans="1:40">
      <c r="A171" s="233" t="s">
        <v>658</v>
      </c>
      <c r="B171" s="233" t="s">
        <v>542</v>
      </c>
      <c r="C171" s="234"/>
      <c r="D171" s="233"/>
      <c r="F171" s="234"/>
      <c r="G171" s="233">
        <v>10</v>
      </c>
      <c r="H171" s="234"/>
      <c r="I171" s="233"/>
      <c r="K171">
        <v>6</v>
      </c>
      <c r="N171" s="235"/>
      <c r="O171" s="236"/>
      <c r="P171" s="237"/>
      <c r="AA171" s="234"/>
      <c r="AB171" s="233"/>
      <c r="AM171" s="234"/>
      <c r="AN171" s="233"/>
    </row>
    <row r="172" spans="1:40">
      <c r="A172" s="233" t="s">
        <v>9</v>
      </c>
      <c r="B172" s="233" t="s">
        <v>540</v>
      </c>
      <c r="C172" s="234">
        <v>32</v>
      </c>
      <c r="D172" s="233"/>
      <c r="F172" s="234"/>
      <c r="G172" s="233"/>
      <c r="H172" s="234">
        <v>29</v>
      </c>
      <c r="I172" s="233"/>
      <c r="N172" s="235"/>
      <c r="O172" s="236"/>
      <c r="P172" s="237">
        <v>22</v>
      </c>
      <c r="AA172" s="234"/>
      <c r="AB172" s="233"/>
      <c r="AM172" s="234"/>
      <c r="AN172" s="233"/>
    </row>
    <row r="173" spans="1:40">
      <c r="A173" s="233" t="s">
        <v>11</v>
      </c>
      <c r="B173" s="233" t="s">
        <v>544</v>
      </c>
      <c r="C173" s="234">
        <v>46</v>
      </c>
      <c r="D173" s="233"/>
      <c r="F173" s="234"/>
      <c r="G173" s="233">
        <v>46</v>
      </c>
      <c r="H173" s="234">
        <v>45</v>
      </c>
      <c r="I173" s="233"/>
      <c r="N173" s="235"/>
      <c r="O173" s="236"/>
      <c r="P173" s="237"/>
      <c r="AA173" s="234"/>
      <c r="AB173" s="233"/>
      <c r="AM173" s="234"/>
      <c r="AN173" s="233"/>
    </row>
    <row r="174" spans="1:40">
      <c r="A174" s="233" t="s">
        <v>659</v>
      </c>
      <c r="B174" s="233" t="s">
        <v>540</v>
      </c>
      <c r="C174" s="234">
        <v>42</v>
      </c>
      <c r="D174" s="233"/>
      <c r="F174" s="234"/>
      <c r="G174" s="233">
        <v>31</v>
      </c>
      <c r="H174" s="234"/>
      <c r="I174" s="233">
        <v>29</v>
      </c>
      <c r="N174" s="235"/>
      <c r="O174" s="236">
        <v>27</v>
      </c>
      <c r="P174" s="237"/>
      <c r="AA174" s="234"/>
      <c r="AB174" s="233"/>
      <c r="AM174" s="234"/>
      <c r="AN174" s="233"/>
    </row>
    <row r="175" spans="1:40">
      <c r="A175" s="233" t="s">
        <v>660</v>
      </c>
      <c r="B175" s="233" t="s">
        <v>542</v>
      </c>
      <c r="C175" s="234">
        <v>42</v>
      </c>
      <c r="D175" s="233"/>
      <c r="F175" s="234"/>
      <c r="G175" s="233">
        <v>23</v>
      </c>
      <c r="H175" s="234"/>
      <c r="I175" s="233">
        <v>20</v>
      </c>
      <c r="N175" s="235"/>
      <c r="O175" s="236"/>
      <c r="P175" s="237"/>
      <c r="AA175" s="234"/>
      <c r="AB175" s="233"/>
      <c r="AM175" s="234"/>
      <c r="AN175" s="233"/>
    </row>
    <row r="176" spans="1:40">
      <c r="A176" s="233" t="s">
        <v>58</v>
      </c>
      <c r="B176" s="233" t="s">
        <v>540</v>
      </c>
      <c r="C176" s="234">
        <v>43</v>
      </c>
      <c r="D176" s="233"/>
      <c r="F176" s="234"/>
      <c r="G176" s="233"/>
      <c r="H176" s="234"/>
      <c r="I176" s="233"/>
      <c r="N176" s="235"/>
      <c r="O176" s="236"/>
      <c r="P176" s="237">
        <v>39</v>
      </c>
      <c r="AA176" s="234"/>
      <c r="AB176" s="233"/>
      <c r="AM176" s="234"/>
      <c r="AN176" s="233"/>
    </row>
    <row r="177" spans="1:40">
      <c r="A177" s="233" t="s">
        <v>81</v>
      </c>
      <c r="B177" s="233" t="s">
        <v>542</v>
      </c>
      <c r="C177" s="234"/>
      <c r="D177" s="233"/>
      <c r="F177" s="234"/>
      <c r="G177" s="233"/>
      <c r="H177" s="234"/>
      <c r="I177" s="233"/>
      <c r="N177" s="235"/>
      <c r="O177" s="236"/>
      <c r="P177" s="237"/>
      <c r="AA177" s="234"/>
      <c r="AB177" s="233"/>
      <c r="AM177" s="234"/>
      <c r="AN177" s="233"/>
    </row>
    <row r="178" spans="1:40">
      <c r="A178" s="233" t="s">
        <v>10</v>
      </c>
      <c r="B178" s="233" t="s">
        <v>574</v>
      </c>
      <c r="C178" s="234">
        <v>39</v>
      </c>
      <c r="D178" s="233">
        <v>40</v>
      </c>
      <c r="F178" s="234"/>
      <c r="G178" s="233"/>
      <c r="H178" s="234">
        <v>38</v>
      </c>
      <c r="I178" s="233">
        <v>37</v>
      </c>
      <c r="J178">
        <v>36</v>
      </c>
      <c r="N178" s="235"/>
      <c r="O178" s="236"/>
      <c r="P178" s="237"/>
      <c r="R178">
        <v>29</v>
      </c>
      <c r="AA178" s="234"/>
      <c r="AB178" s="233"/>
      <c r="AM178" s="234"/>
      <c r="AN178" s="233"/>
    </row>
    <row r="179" spans="1:40">
      <c r="A179" s="233" t="s">
        <v>661</v>
      </c>
      <c r="B179" s="233" t="s">
        <v>542</v>
      </c>
      <c r="C179" s="234">
        <v>33</v>
      </c>
      <c r="D179" s="233"/>
      <c r="E179">
        <v>31</v>
      </c>
      <c r="F179" s="234">
        <v>31</v>
      </c>
      <c r="G179" s="233"/>
      <c r="H179" s="234">
        <v>24</v>
      </c>
      <c r="I179" s="233">
        <v>23</v>
      </c>
      <c r="K179">
        <v>21</v>
      </c>
      <c r="N179" s="235"/>
      <c r="O179" s="236"/>
      <c r="P179" s="237"/>
      <c r="AA179" s="234"/>
      <c r="AB179" s="233"/>
      <c r="AM179" s="234"/>
      <c r="AN179" s="233"/>
    </row>
    <row r="180" spans="1:40">
      <c r="A180" s="233" t="s">
        <v>662</v>
      </c>
      <c r="B180" s="233" t="s">
        <v>540</v>
      </c>
      <c r="C180" s="234">
        <v>38</v>
      </c>
      <c r="D180" s="233"/>
      <c r="E180">
        <v>36</v>
      </c>
      <c r="F180" s="234"/>
      <c r="G180" s="233"/>
      <c r="H180" s="234">
        <v>32</v>
      </c>
      <c r="I180" s="233"/>
      <c r="N180" s="235">
        <v>25</v>
      </c>
      <c r="O180" s="236"/>
      <c r="P180" s="237"/>
      <c r="AA180" s="234"/>
      <c r="AB180" s="233"/>
      <c r="AM180" s="234"/>
      <c r="AN180" s="233"/>
    </row>
    <row r="181" spans="1:40">
      <c r="A181" s="233" t="s">
        <v>64</v>
      </c>
      <c r="B181" s="233" t="s">
        <v>540</v>
      </c>
      <c r="C181" s="234"/>
      <c r="D181" s="233"/>
      <c r="F181" s="234"/>
      <c r="G181" s="233"/>
      <c r="H181" s="234"/>
      <c r="I181" s="233"/>
      <c r="N181" s="235"/>
      <c r="O181" s="236"/>
      <c r="P181" s="237"/>
      <c r="AA181" s="234"/>
      <c r="AB181" s="233"/>
      <c r="AM181" s="234"/>
      <c r="AN181" s="233"/>
    </row>
    <row r="182" spans="1:40">
      <c r="A182" s="233" t="s">
        <v>13</v>
      </c>
      <c r="B182" s="233" t="s">
        <v>540</v>
      </c>
      <c r="C182" s="234">
        <v>47</v>
      </c>
      <c r="D182" s="233"/>
      <c r="F182" s="234"/>
      <c r="G182" s="233"/>
      <c r="H182" s="234"/>
      <c r="I182" s="233"/>
      <c r="L182">
        <v>42</v>
      </c>
      <c r="N182" s="235"/>
      <c r="O182" s="236"/>
      <c r="P182" s="237">
        <v>41</v>
      </c>
      <c r="R182">
        <v>40</v>
      </c>
      <c r="X182">
        <v>36</v>
      </c>
      <c r="AA182" s="234"/>
      <c r="AB182" s="233"/>
      <c r="AM182" s="234"/>
      <c r="AN182" s="233"/>
    </row>
    <row r="183" spans="1:40">
      <c r="A183" s="233" t="s">
        <v>663</v>
      </c>
      <c r="B183" s="233" t="s">
        <v>540</v>
      </c>
      <c r="C183">
        <v>39</v>
      </c>
      <c r="D183" s="233"/>
      <c r="E183">
        <v>40</v>
      </c>
      <c r="F183" s="234">
        <v>41</v>
      </c>
      <c r="G183" s="233">
        <v>41</v>
      </c>
      <c r="H183" s="234">
        <v>38</v>
      </c>
      <c r="I183" s="233"/>
      <c r="K183">
        <v>37</v>
      </c>
      <c r="N183" s="235">
        <v>30</v>
      </c>
      <c r="O183" s="236"/>
      <c r="P183" s="237"/>
      <c r="Q183">
        <v>21</v>
      </c>
      <c r="T183">
        <v>21</v>
      </c>
      <c r="AA183" s="234"/>
      <c r="AB183" s="233"/>
      <c r="AM183" s="234"/>
      <c r="AN183" s="233"/>
    </row>
    <row r="184" spans="1:40">
      <c r="A184" s="233" t="s">
        <v>63</v>
      </c>
      <c r="B184" s="233" t="s">
        <v>540</v>
      </c>
      <c r="C184" s="234"/>
      <c r="D184" s="233"/>
      <c r="F184" s="234"/>
      <c r="G184" s="233"/>
      <c r="H184" s="234"/>
      <c r="I184" s="233"/>
      <c r="N184" s="235"/>
      <c r="O184" s="236"/>
      <c r="P184" s="237"/>
      <c r="AA184" s="234"/>
      <c r="AB184" s="233"/>
      <c r="AM184" s="234"/>
      <c r="AN184" s="233"/>
    </row>
    <row r="185" spans="1:40">
      <c r="A185" s="233" t="s">
        <v>664</v>
      </c>
      <c r="B185" s="233" t="s">
        <v>540</v>
      </c>
      <c r="C185" s="234"/>
      <c r="D185" s="233"/>
      <c r="F185" s="234"/>
      <c r="G185" s="233"/>
      <c r="H185" s="234"/>
      <c r="I185" s="233"/>
      <c r="N185" s="235"/>
      <c r="O185" s="236"/>
      <c r="P185" s="237"/>
      <c r="AA185" s="234"/>
      <c r="AB185" s="233"/>
      <c r="AM185" s="234"/>
      <c r="AN185" s="233"/>
    </row>
    <row r="186" spans="1:40">
      <c r="A186" s="233" t="s">
        <v>12</v>
      </c>
      <c r="B186" s="233" t="s">
        <v>540</v>
      </c>
      <c r="C186" s="234">
        <v>43</v>
      </c>
      <c r="D186" s="233">
        <v>43</v>
      </c>
      <c r="F186" s="234">
        <v>43</v>
      </c>
      <c r="G186" s="233"/>
      <c r="H186" s="234"/>
      <c r="I186" s="233"/>
      <c r="L186">
        <v>39</v>
      </c>
      <c r="N186" s="235"/>
      <c r="O186" s="236"/>
      <c r="P186" s="237"/>
      <c r="AA186" s="234"/>
      <c r="AB186" s="233"/>
      <c r="AM186" s="234"/>
      <c r="AN186" s="233"/>
    </row>
    <row r="187" spans="1:40">
      <c r="A187" s="233" t="s">
        <v>665</v>
      </c>
      <c r="B187" s="233" t="s">
        <v>542</v>
      </c>
      <c r="C187" s="234">
        <v>37</v>
      </c>
      <c r="D187" s="233"/>
      <c r="E187">
        <v>35</v>
      </c>
      <c r="F187" s="234"/>
      <c r="G187" s="233"/>
      <c r="H187" s="234">
        <v>35</v>
      </c>
      <c r="I187" s="233">
        <v>34</v>
      </c>
      <c r="N187" s="235"/>
      <c r="O187" s="236"/>
      <c r="P187" s="237"/>
      <c r="Q187">
        <v>11</v>
      </c>
      <c r="AA187" s="234"/>
      <c r="AB187" s="233"/>
      <c r="AM187" s="234"/>
      <c r="AN187" s="233"/>
    </row>
    <row r="188" spans="1:40">
      <c r="A188" s="233" t="s">
        <v>59</v>
      </c>
      <c r="B188" s="233" t="s">
        <v>540</v>
      </c>
      <c r="C188" s="234">
        <v>33</v>
      </c>
      <c r="D188" s="233">
        <v>32</v>
      </c>
      <c r="F188" s="234"/>
      <c r="G188" s="233"/>
      <c r="H188" s="234"/>
      <c r="I188" s="233"/>
      <c r="N188" s="235"/>
      <c r="O188" s="236"/>
      <c r="P188" s="237"/>
      <c r="Q188">
        <v>22</v>
      </c>
      <c r="AA188" s="234"/>
      <c r="AB188" s="233"/>
      <c r="AM188" s="234"/>
      <c r="AN188" s="233"/>
    </row>
    <row r="189" spans="1:40">
      <c r="A189" s="233" t="s">
        <v>27</v>
      </c>
      <c r="B189" s="233" t="s">
        <v>540</v>
      </c>
      <c r="C189" s="234">
        <v>39</v>
      </c>
      <c r="D189" s="233">
        <v>39</v>
      </c>
      <c r="F189" s="234"/>
      <c r="G189" s="233">
        <v>39</v>
      </c>
      <c r="H189" s="234"/>
      <c r="I189" s="233"/>
      <c r="J189">
        <v>37</v>
      </c>
      <c r="M189">
        <v>33</v>
      </c>
      <c r="N189" s="235"/>
      <c r="O189" s="236"/>
      <c r="P189" s="237">
        <v>32</v>
      </c>
      <c r="AA189" s="234"/>
      <c r="AB189" s="233"/>
      <c r="AM189" s="234"/>
      <c r="AN189" s="233"/>
    </row>
    <row r="190" spans="1:40">
      <c r="A190" s="233" t="s">
        <v>666</v>
      </c>
      <c r="B190" s="233" t="s">
        <v>542</v>
      </c>
      <c r="C190" s="234">
        <v>27</v>
      </c>
      <c r="D190" s="233">
        <v>26</v>
      </c>
      <c r="E190">
        <v>24</v>
      </c>
      <c r="F190" s="234"/>
      <c r="G190" s="233">
        <v>21</v>
      </c>
      <c r="H190" s="234"/>
      <c r="I190" s="233">
        <v>17</v>
      </c>
      <c r="J190">
        <v>19</v>
      </c>
      <c r="L190">
        <v>15</v>
      </c>
      <c r="N190" s="235"/>
      <c r="O190" s="236"/>
      <c r="P190" s="237"/>
      <c r="AA190" s="234"/>
      <c r="AB190" s="233"/>
      <c r="AM190" s="234"/>
      <c r="AN190" s="233"/>
    </row>
    <row r="191" spans="1:40">
      <c r="A191" s="233" t="s">
        <v>667</v>
      </c>
      <c r="B191" s="233" t="s">
        <v>574</v>
      </c>
      <c r="C191" s="234">
        <v>36</v>
      </c>
      <c r="D191" s="233"/>
      <c r="F191" s="234"/>
      <c r="G191" s="233">
        <v>35</v>
      </c>
      <c r="H191" s="234">
        <v>31</v>
      </c>
      <c r="I191" s="233"/>
      <c r="L191">
        <v>30</v>
      </c>
      <c r="N191" s="235"/>
      <c r="O191" s="236"/>
      <c r="P191" s="237"/>
      <c r="Q191">
        <v>30</v>
      </c>
      <c r="AA191" s="234"/>
      <c r="AB191" s="233"/>
      <c r="AM191" s="234"/>
      <c r="AN191" s="233"/>
    </row>
    <row r="192" spans="1:40">
      <c r="A192" s="233" t="s">
        <v>668</v>
      </c>
      <c r="B192" s="233" t="s">
        <v>542</v>
      </c>
      <c r="C192" s="234">
        <v>37</v>
      </c>
      <c r="D192" s="233">
        <v>36</v>
      </c>
      <c r="F192" s="234"/>
      <c r="G192" s="233"/>
      <c r="H192" s="234">
        <v>33</v>
      </c>
      <c r="I192" s="233"/>
      <c r="J192">
        <v>27</v>
      </c>
      <c r="N192" s="235"/>
      <c r="O192" s="236"/>
      <c r="P192" s="237"/>
      <c r="AA192" s="234"/>
      <c r="AB192" s="233"/>
      <c r="AM192" s="234"/>
      <c r="AN192" s="233"/>
    </row>
    <row r="193" spans="1:40">
      <c r="A193" s="233" t="s">
        <v>669</v>
      </c>
      <c r="B193" s="233" t="s">
        <v>540</v>
      </c>
      <c r="C193" s="234">
        <v>34</v>
      </c>
      <c r="D193" s="233"/>
      <c r="F193" s="234"/>
      <c r="G193" s="233"/>
      <c r="H193" s="234"/>
      <c r="I193" s="233"/>
      <c r="N193" s="235"/>
      <c r="O193" s="236"/>
      <c r="P193" s="237"/>
      <c r="AA193" s="234"/>
      <c r="AB193" s="233"/>
      <c r="AM193" s="234"/>
      <c r="AN193" s="233"/>
    </row>
    <row r="194" spans="1:40">
      <c r="A194" s="233" t="s">
        <v>16</v>
      </c>
      <c r="B194" s="233" t="s">
        <v>540</v>
      </c>
      <c r="C194" s="234">
        <v>42</v>
      </c>
      <c r="D194" s="233">
        <v>42</v>
      </c>
      <c r="F194" s="234"/>
      <c r="G194" s="233"/>
      <c r="H194" s="234">
        <v>43</v>
      </c>
      <c r="I194" s="233"/>
      <c r="J194">
        <v>42</v>
      </c>
      <c r="N194" s="235"/>
      <c r="O194" s="236"/>
      <c r="P194" s="237"/>
      <c r="AA194" s="234"/>
      <c r="AB194" s="233"/>
      <c r="AM194" s="234"/>
      <c r="AN194" s="233"/>
    </row>
    <row r="195" spans="1:40">
      <c r="A195" s="233" t="s">
        <v>670</v>
      </c>
      <c r="B195" s="233" t="s">
        <v>540</v>
      </c>
      <c r="C195" s="234">
        <v>28</v>
      </c>
      <c r="D195" s="233"/>
      <c r="E195">
        <v>28</v>
      </c>
      <c r="F195" s="234"/>
      <c r="G195" s="233"/>
      <c r="H195" s="234">
        <v>24</v>
      </c>
      <c r="I195" s="233"/>
      <c r="N195" s="235"/>
      <c r="O195" s="236">
        <v>21</v>
      </c>
      <c r="P195" s="237"/>
      <c r="AA195" s="234"/>
      <c r="AB195" s="233"/>
      <c r="AM195" s="234"/>
      <c r="AN195" s="233"/>
    </row>
    <row r="196" spans="1:40">
      <c r="A196" s="233" t="s">
        <v>671</v>
      </c>
      <c r="B196" s="233" t="s">
        <v>542</v>
      </c>
      <c r="C196" s="234"/>
      <c r="D196" s="233"/>
      <c r="F196" s="234"/>
      <c r="G196" s="233"/>
      <c r="H196" s="234"/>
      <c r="I196" s="233"/>
      <c r="N196" s="235"/>
      <c r="O196" s="236"/>
      <c r="P196" s="237"/>
      <c r="AA196" s="234"/>
      <c r="AB196" s="233"/>
      <c r="AM196" s="234"/>
      <c r="AN196" s="233"/>
    </row>
    <row r="197" spans="1:40">
      <c r="A197" s="233" t="s">
        <v>48</v>
      </c>
      <c r="B197" s="233" t="s">
        <v>540</v>
      </c>
      <c r="C197" s="247">
        <v>29</v>
      </c>
      <c r="D197" s="233">
        <v>28</v>
      </c>
      <c r="F197" s="234"/>
      <c r="G197" s="233"/>
      <c r="H197" s="234"/>
      <c r="I197" s="233"/>
      <c r="N197" s="235"/>
      <c r="O197" s="236"/>
      <c r="P197" s="237"/>
      <c r="AA197" s="234"/>
      <c r="AB197" s="233"/>
      <c r="AM197" s="234"/>
      <c r="AN197" s="233"/>
    </row>
    <row r="198" spans="1:40">
      <c r="A198" s="233" t="s">
        <v>19</v>
      </c>
      <c r="B198" s="233" t="s">
        <v>544</v>
      </c>
      <c r="C198" s="234">
        <v>29</v>
      </c>
      <c r="D198" s="233"/>
      <c r="F198" s="234">
        <v>28</v>
      </c>
      <c r="G198" s="233"/>
      <c r="H198" s="234"/>
      <c r="I198" s="233"/>
      <c r="N198" s="235">
        <v>19</v>
      </c>
      <c r="O198" s="236"/>
      <c r="P198" s="237"/>
      <c r="AA198" s="234"/>
      <c r="AB198" s="233"/>
      <c r="AM198" s="234"/>
      <c r="AN198" s="233"/>
    </row>
    <row r="199" spans="1:40">
      <c r="A199" s="233" t="s">
        <v>15</v>
      </c>
      <c r="B199" s="233" t="s">
        <v>540</v>
      </c>
      <c r="C199" s="234"/>
      <c r="D199" s="233"/>
      <c r="F199" s="234"/>
      <c r="G199" s="233"/>
      <c r="H199" s="234"/>
      <c r="I199" s="233"/>
      <c r="N199" s="235"/>
      <c r="O199" s="236"/>
      <c r="P199" s="237"/>
      <c r="AA199" s="234"/>
      <c r="AB199" s="233"/>
      <c r="AM199" s="234"/>
      <c r="AN199" s="233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3"/>
  <sheetViews>
    <sheetView workbookViewId="0">
      <pane xSplit="2" ySplit="1" topLeftCell="AT53" activePane="bottomRight" state="frozen"/>
      <selection pane="topRight" activeCell="C1" sqref="C1"/>
      <selection pane="bottomLeft" activeCell="A2" sqref="A2"/>
      <selection pane="bottomRight" activeCell="BE74" sqref="BE74"/>
    </sheetView>
  </sheetViews>
  <sheetFormatPr defaultRowHeight="16.5"/>
  <sheetData>
    <row r="1" spans="1:71">
      <c r="A1" s="239" t="s">
        <v>0</v>
      </c>
      <c r="B1" s="2" t="s">
        <v>679</v>
      </c>
      <c r="C1" s="1" t="s">
        <v>680</v>
      </c>
      <c r="D1" s="10" t="s">
        <v>211</v>
      </c>
      <c r="E1" s="94" t="s">
        <v>212</v>
      </c>
      <c r="F1" s="10" t="s">
        <v>213</v>
      </c>
      <c r="G1" s="10" t="s">
        <v>214</v>
      </c>
      <c r="H1" s="10" t="s">
        <v>215</v>
      </c>
      <c r="I1" s="10" t="s">
        <v>216</v>
      </c>
      <c r="J1" s="10" t="s">
        <v>217</v>
      </c>
      <c r="K1" s="10" t="s">
        <v>218</v>
      </c>
      <c r="L1" s="10" t="s">
        <v>219</v>
      </c>
      <c r="M1" s="96" t="s">
        <v>229</v>
      </c>
      <c r="N1" s="96" t="s">
        <v>230</v>
      </c>
      <c r="O1" s="96" t="s">
        <v>231</v>
      </c>
      <c r="P1" s="96" t="s">
        <v>232</v>
      </c>
      <c r="Q1" s="96" t="s">
        <v>233</v>
      </c>
      <c r="R1" s="96" t="s">
        <v>234</v>
      </c>
      <c r="S1" s="96" t="s">
        <v>235</v>
      </c>
      <c r="T1" s="96" t="s">
        <v>236</v>
      </c>
      <c r="U1" s="96" t="s">
        <v>237</v>
      </c>
      <c r="V1" s="96" t="s">
        <v>238</v>
      </c>
      <c r="W1" s="96" t="s">
        <v>239</v>
      </c>
      <c r="X1" s="96" t="s">
        <v>240</v>
      </c>
      <c r="Y1" s="96" t="s">
        <v>241</v>
      </c>
      <c r="Z1" s="96" t="s">
        <v>242</v>
      </c>
      <c r="AA1" s="96" t="s">
        <v>243</v>
      </c>
      <c r="AB1" s="96" t="s">
        <v>244</v>
      </c>
      <c r="AC1" s="96" t="s">
        <v>245</v>
      </c>
      <c r="AD1" s="96" t="s">
        <v>246</v>
      </c>
      <c r="AE1" s="96" t="s">
        <v>247</v>
      </c>
      <c r="AF1" s="96" t="s">
        <v>248</v>
      </c>
      <c r="AG1" s="96" t="s">
        <v>249</v>
      </c>
      <c r="AH1" s="96" t="s">
        <v>250</v>
      </c>
      <c r="AI1" s="96" t="s">
        <v>251</v>
      </c>
      <c r="AJ1" s="96" t="s">
        <v>252</v>
      </c>
      <c r="AK1" s="96" t="s">
        <v>253</v>
      </c>
      <c r="AL1" s="96" t="s">
        <v>254</v>
      </c>
      <c r="AM1" s="96" t="s">
        <v>255</v>
      </c>
      <c r="AN1" s="96" t="s">
        <v>256</v>
      </c>
      <c r="AO1" s="96" t="s">
        <v>257</v>
      </c>
      <c r="AP1" s="96" t="s">
        <v>258</v>
      </c>
      <c r="AQ1" s="96" t="s">
        <v>259</v>
      </c>
      <c r="AR1" s="96" t="s">
        <v>260</v>
      </c>
      <c r="AS1" s="96" t="s">
        <v>261</v>
      </c>
      <c r="AT1" s="96" t="s">
        <v>262</v>
      </c>
      <c r="AU1" s="96" t="s">
        <v>263</v>
      </c>
      <c r="AV1" s="96" t="s">
        <v>264</v>
      </c>
      <c r="AW1" s="240" t="s">
        <v>475</v>
      </c>
      <c r="AX1" s="14" t="s">
        <v>266</v>
      </c>
      <c r="AY1" s="15" t="s">
        <v>672</v>
      </c>
      <c r="AZ1" s="240" t="s">
        <v>174</v>
      </c>
      <c r="BA1" s="14" t="s">
        <v>175</v>
      </c>
      <c r="BB1" s="15" t="s">
        <v>673</v>
      </c>
      <c r="BC1" s="240" t="s">
        <v>176</v>
      </c>
      <c r="BD1" s="14" t="s">
        <v>177</v>
      </c>
      <c r="BE1" s="15" t="s">
        <v>674</v>
      </c>
      <c r="BF1" s="240" t="s">
        <v>178</v>
      </c>
      <c r="BG1" s="14" t="s">
        <v>179</v>
      </c>
      <c r="BH1" s="15" t="s">
        <v>675</v>
      </c>
      <c r="BI1" s="240" t="s">
        <v>180</v>
      </c>
      <c r="BJ1" s="14" t="s">
        <v>181</v>
      </c>
      <c r="BK1" s="15" t="s">
        <v>676</v>
      </c>
      <c r="BL1" s="240" t="s">
        <v>182</v>
      </c>
      <c r="BM1" s="14" t="s">
        <v>183</v>
      </c>
      <c r="BN1" s="15" t="s">
        <v>677</v>
      </c>
      <c r="BO1" s="240" t="s">
        <v>184</v>
      </c>
      <c r="BP1" s="14" t="s">
        <v>185</v>
      </c>
      <c r="BQ1" s="15" t="s">
        <v>678</v>
      </c>
    </row>
    <row r="2" spans="1:71">
      <c r="A2" s="241">
        <v>1230</v>
      </c>
      <c r="B2" s="111" t="s">
        <v>33</v>
      </c>
      <c r="C2" s="241">
        <v>2</v>
      </c>
      <c r="D2" s="241">
        <v>42074</v>
      </c>
      <c r="E2" s="241">
        <v>42100</v>
      </c>
      <c r="F2" s="241"/>
      <c r="G2" s="241"/>
      <c r="H2" s="241"/>
      <c r="I2" s="241"/>
      <c r="J2" s="241"/>
      <c r="K2" s="241"/>
      <c r="L2" s="241"/>
      <c r="M2" s="241">
        <v>890.5</v>
      </c>
      <c r="N2" s="241">
        <v>2800.7</v>
      </c>
      <c r="O2" s="241"/>
      <c r="P2" s="241"/>
      <c r="Q2" s="241"/>
      <c r="R2" s="241"/>
      <c r="S2" s="241"/>
      <c r="T2" s="241"/>
      <c r="U2" s="241"/>
      <c r="V2" s="241">
        <v>2.6</v>
      </c>
      <c r="W2" s="241">
        <v>5.74</v>
      </c>
      <c r="X2" s="241"/>
      <c r="Y2" s="241"/>
      <c r="Z2" s="241"/>
      <c r="AA2" s="241"/>
      <c r="AB2" s="241"/>
      <c r="AC2" s="241"/>
      <c r="AD2" s="241"/>
      <c r="AE2" s="241">
        <v>45.39</v>
      </c>
      <c r="AF2" s="241">
        <v>107.31</v>
      </c>
      <c r="AG2" s="241"/>
      <c r="AH2" s="241"/>
      <c r="AI2" s="241"/>
      <c r="AJ2" s="241"/>
      <c r="AK2" s="241"/>
      <c r="AL2" s="241"/>
      <c r="AM2" s="241"/>
      <c r="AN2" s="241">
        <v>986.7</v>
      </c>
      <c r="AO2" s="241">
        <v>1341.7</v>
      </c>
      <c r="AP2" s="241"/>
      <c r="AQ2" s="241"/>
      <c r="AR2" s="241"/>
      <c r="AS2" s="241"/>
      <c r="AT2" s="241"/>
      <c r="AU2" s="241"/>
      <c r="AV2" s="241"/>
      <c r="AW2" s="241">
        <v>41</v>
      </c>
      <c r="AX2" s="241">
        <v>41806</v>
      </c>
      <c r="AY2" s="241">
        <f t="shared" ref="AY2:AY33" si="0">ROUND((AX2-D2)/30.5,0)</f>
        <v>-9</v>
      </c>
      <c r="AZ2" s="241">
        <v>34</v>
      </c>
      <c r="BA2" s="241">
        <v>42075</v>
      </c>
      <c r="BB2" s="241">
        <v>0</v>
      </c>
      <c r="BC2" s="241">
        <v>28</v>
      </c>
      <c r="BD2" s="241">
        <v>42191</v>
      </c>
      <c r="BE2" s="241">
        <v>4</v>
      </c>
      <c r="BF2" s="241">
        <v>26</v>
      </c>
      <c r="BG2" s="241">
        <v>42282</v>
      </c>
      <c r="BH2" s="241">
        <v>7</v>
      </c>
      <c r="BI2" s="241">
        <v>22</v>
      </c>
      <c r="BJ2" s="241">
        <v>42506</v>
      </c>
      <c r="BK2" s="241">
        <v>14</v>
      </c>
      <c r="BL2" s="241">
        <v>4</v>
      </c>
      <c r="BM2" s="241">
        <v>42801</v>
      </c>
      <c r="BN2" s="241">
        <v>24</v>
      </c>
      <c r="BO2" s="241">
        <v>1</v>
      </c>
      <c r="BP2" s="241">
        <v>43129</v>
      </c>
      <c r="BQ2" s="241">
        <v>35</v>
      </c>
      <c r="BR2" s="243">
        <f>(BD2-BA2)/28</f>
        <v>4.1428571428571432</v>
      </c>
      <c r="BS2" s="243">
        <f>(BG2-BA2)/28</f>
        <v>7.3928571428571432</v>
      </c>
    </row>
    <row r="3" spans="1:71">
      <c r="A3" s="111">
        <v>1154</v>
      </c>
      <c r="B3" s="111" t="s">
        <v>82</v>
      </c>
      <c r="C3" s="241">
        <v>10</v>
      </c>
      <c r="D3" s="241">
        <v>42088</v>
      </c>
      <c r="E3" s="241"/>
      <c r="F3" s="241"/>
      <c r="G3" s="241"/>
      <c r="H3" s="241">
        <v>42823</v>
      </c>
      <c r="I3" s="241">
        <v>42984</v>
      </c>
      <c r="J3" s="241">
        <v>43150</v>
      </c>
      <c r="K3" s="241"/>
      <c r="L3" s="241"/>
      <c r="M3" s="241">
        <v>720.5</v>
      </c>
      <c r="N3" s="241"/>
      <c r="O3" s="241"/>
      <c r="P3" s="241"/>
      <c r="Q3" s="241"/>
      <c r="R3" s="241">
        <v>915.40000000000009</v>
      </c>
      <c r="S3" s="241">
        <v>1164</v>
      </c>
      <c r="T3" s="241">
        <v>1201.0999999999999</v>
      </c>
      <c r="U3" s="241"/>
      <c r="V3" s="241">
        <v>2.1</v>
      </c>
      <c r="W3" s="241"/>
      <c r="X3" s="241"/>
      <c r="Y3" s="241"/>
      <c r="Z3" s="241"/>
      <c r="AA3" s="241">
        <v>3.46</v>
      </c>
      <c r="AB3" s="241">
        <v>2.6</v>
      </c>
      <c r="AC3" s="241">
        <v>2.64</v>
      </c>
      <c r="AD3" s="241"/>
      <c r="AE3" s="241">
        <v>34.619999999999997</v>
      </c>
      <c r="AF3" s="241"/>
      <c r="AG3" s="241"/>
      <c r="AH3" s="241"/>
      <c r="AI3" s="241"/>
      <c r="AJ3" s="241">
        <v>94.67</v>
      </c>
      <c r="AK3" s="241">
        <v>48.17</v>
      </c>
      <c r="AL3" s="241">
        <v>52.22</v>
      </c>
      <c r="AM3" s="241"/>
      <c r="AN3" s="241">
        <v>1015.08</v>
      </c>
      <c r="AO3" s="241"/>
      <c r="AP3" s="241"/>
      <c r="AQ3" s="241"/>
      <c r="AR3" s="241"/>
      <c r="AS3" s="241">
        <v>1113.72</v>
      </c>
      <c r="AT3" s="241">
        <v>817.8</v>
      </c>
      <c r="AU3" s="241">
        <v>515.89</v>
      </c>
      <c r="AV3" s="241"/>
      <c r="AW3" s="241">
        <v>38</v>
      </c>
      <c r="AX3" s="241">
        <v>41689</v>
      </c>
      <c r="AY3" s="241">
        <f t="shared" si="0"/>
        <v>-13</v>
      </c>
      <c r="AZ3" s="241">
        <v>29</v>
      </c>
      <c r="BA3" s="241">
        <v>42089</v>
      </c>
      <c r="BB3" s="241">
        <v>0</v>
      </c>
      <c r="BC3" s="241">
        <v>25</v>
      </c>
      <c r="BD3" s="241">
        <v>42198</v>
      </c>
      <c r="BE3" s="241">
        <v>4</v>
      </c>
      <c r="BF3" s="241">
        <v>25</v>
      </c>
      <c r="BG3" s="241">
        <v>42254</v>
      </c>
      <c r="BH3" s="241">
        <v>5</v>
      </c>
      <c r="BI3" s="241">
        <v>21</v>
      </c>
      <c r="BJ3" s="241">
        <v>42464</v>
      </c>
      <c r="BK3" s="241">
        <v>12</v>
      </c>
      <c r="BL3" s="241">
        <v>18</v>
      </c>
      <c r="BM3" s="241">
        <v>42779</v>
      </c>
      <c r="BN3" s="241">
        <v>23</v>
      </c>
      <c r="BO3" s="241">
        <v>18</v>
      </c>
      <c r="BP3" s="241">
        <v>43108</v>
      </c>
      <c r="BQ3" s="241">
        <v>33</v>
      </c>
      <c r="BR3" s="243">
        <f t="shared" ref="BR3:BR66" si="1">(BD3-BA3)/28</f>
        <v>3.8928571428571428</v>
      </c>
      <c r="BS3" s="243">
        <f t="shared" ref="BS3:BS66" si="2">(BG3-BA3)/28</f>
        <v>5.8928571428571432</v>
      </c>
    </row>
    <row r="4" spans="1:71">
      <c r="A4" s="111">
        <v>986</v>
      </c>
      <c r="B4" s="111" t="s">
        <v>57</v>
      </c>
      <c r="C4" s="241">
        <v>2</v>
      </c>
      <c r="D4" s="241">
        <v>42095</v>
      </c>
      <c r="E4" s="241">
        <v>42121</v>
      </c>
      <c r="F4" s="241"/>
      <c r="G4" s="241"/>
      <c r="H4" s="241"/>
      <c r="I4" s="241"/>
      <c r="J4" s="241"/>
      <c r="K4" s="241"/>
      <c r="L4" s="241"/>
      <c r="M4" s="241">
        <v>1218.3</v>
      </c>
      <c r="N4" s="241">
        <v>1859.8</v>
      </c>
      <c r="O4" s="241"/>
      <c r="P4" s="241"/>
      <c r="Q4" s="241"/>
      <c r="R4" s="241"/>
      <c r="S4" s="241"/>
      <c r="T4" s="241"/>
      <c r="U4" s="241"/>
      <c r="V4" s="241">
        <v>3.89</v>
      </c>
      <c r="W4" s="241">
        <v>6.16</v>
      </c>
      <c r="X4" s="241"/>
      <c r="Y4" s="241"/>
      <c r="Z4" s="241"/>
      <c r="AA4" s="241"/>
      <c r="AB4" s="241"/>
      <c r="AC4" s="241"/>
      <c r="AD4" s="241"/>
      <c r="AE4" s="241">
        <v>58.25</v>
      </c>
      <c r="AF4" s="241">
        <v>50.31</v>
      </c>
      <c r="AG4" s="241"/>
      <c r="AH4" s="241"/>
      <c r="AI4" s="241"/>
      <c r="AJ4" s="241"/>
      <c r="AK4" s="241"/>
      <c r="AL4" s="241"/>
      <c r="AM4" s="241"/>
      <c r="AN4" s="241">
        <v>1756.36</v>
      </c>
      <c r="AO4" s="241">
        <v>1003.54</v>
      </c>
      <c r="AP4" s="241"/>
      <c r="AQ4" s="241"/>
      <c r="AR4" s="241"/>
      <c r="AS4" s="241"/>
      <c r="AT4" s="241"/>
      <c r="AU4" s="241"/>
      <c r="AV4" s="241"/>
      <c r="AW4" s="241">
        <v>43</v>
      </c>
      <c r="AX4" s="241">
        <v>41373</v>
      </c>
      <c r="AY4" s="241">
        <f t="shared" si="0"/>
        <v>-24</v>
      </c>
      <c r="AZ4" s="241">
        <v>30</v>
      </c>
      <c r="BA4" s="241">
        <v>42096</v>
      </c>
      <c r="BB4" s="241">
        <v>0</v>
      </c>
      <c r="BC4" s="241">
        <v>21</v>
      </c>
      <c r="BD4" s="241">
        <v>42268</v>
      </c>
      <c r="BE4" s="241">
        <v>6</v>
      </c>
      <c r="BF4" s="241">
        <v>6</v>
      </c>
      <c r="BG4" s="241">
        <v>42502</v>
      </c>
      <c r="BH4" s="241">
        <v>13</v>
      </c>
      <c r="BI4" s="241"/>
      <c r="BJ4" s="241"/>
      <c r="BK4" s="241"/>
      <c r="BL4" s="241"/>
      <c r="BM4" s="241"/>
      <c r="BN4" s="241"/>
      <c r="BO4" s="241"/>
      <c r="BP4" s="241"/>
      <c r="BQ4" s="241"/>
      <c r="BR4" s="243">
        <f t="shared" si="1"/>
        <v>6.1428571428571432</v>
      </c>
      <c r="BS4" s="243">
        <f t="shared" si="2"/>
        <v>14.5</v>
      </c>
    </row>
    <row r="5" spans="1:71">
      <c r="A5" s="111">
        <v>1252</v>
      </c>
      <c r="B5" s="111" t="s">
        <v>30</v>
      </c>
      <c r="C5" s="241">
        <v>2</v>
      </c>
      <c r="D5" s="241">
        <v>42096</v>
      </c>
      <c r="E5" s="241">
        <v>42122</v>
      </c>
      <c r="F5" s="241"/>
      <c r="G5" s="241"/>
      <c r="H5" s="241"/>
      <c r="I5" s="241"/>
      <c r="J5" s="241"/>
      <c r="K5" s="241"/>
      <c r="L5" s="241"/>
      <c r="M5" s="241">
        <v>701.59999999999991</v>
      </c>
      <c r="N5" s="241">
        <v>1271.0999999999999</v>
      </c>
      <c r="O5" s="241"/>
      <c r="P5" s="241"/>
      <c r="Q5" s="241"/>
      <c r="R5" s="241"/>
      <c r="S5" s="241"/>
      <c r="T5" s="241"/>
      <c r="U5" s="241"/>
      <c r="V5" s="241">
        <v>2.31</v>
      </c>
      <c r="W5" s="241">
        <v>2.46</v>
      </c>
      <c r="X5" s="241"/>
      <c r="Y5" s="241"/>
      <c r="Z5" s="241"/>
      <c r="AA5" s="241"/>
      <c r="AB5" s="241"/>
      <c r="AC5" s="241"/>
      <c r="AD5" s="241"/>
      <c r="AE5" s="241">
        <v>52.51</v>
      </c>
      <c r="AF5" s="241">
        <v>51.88</v>
      </c>
      <c r="AG5" s="241"/>
      <c r="AH5" s="241"/>
      <c r="AI5" s="241"/>
      <c r="AJ5" s="241"/>
      <c r="AK5" s="241"/>
      <c r="AL5" s="241"/>
      <c r="AM5" s="241"/>
      <c r="AN5" s="241">
        <v>936.85</v>
      </c>
      <c r="AO5" s="241">
        <v>1082.49</v>
      </c>
      <c r="AP5" s="241"/>
      <c r="AQ5" s="241"/>
      <c r="AR5" s="241"/>
      <c r="AS5" s="241"/>
      <c r="AT5" s="241"/>
      <c r="AU5" s="241"/>
      <c r="AV5" s="241"/>
      <c r="AW5" s="241">
        <v>41</v>
      </c>
      <c r="AX5" s="241">
        <v>41837</v>
      </c>
      <c r="AY5" s="241">
        <f t="shared" si="0"/>
        <v>-8</v>
      </c>
      <c r="AZ5" s="241">
        <v>36</v>
      </c>
      <c r="BA5" s="241">
        <v>42097</v>
      </c>
      <c r="BB5" s="241">
        <v>0</v>
      </c>
      <c r="BC5" s="241">
        <v>33</v>
      </c>
      <c r="BD5" s="241">
        <v>42191</v>
      </c>
      <c r="BE5" s="241">
        <v>3</v>
      </c>
      <c r="BF5" s="241">
        <v>31</v>
      </c>
      <c r="BG5" s="241">
        <v>42296</v>
      </c>
      <c r="BH5" s="241">
        <v>7</v>
      </c>
      <c r="BI5" s="241">
        <v>26</v>
      </c>
      <c r="BJ5" s="241">
        <v>42478</v>
      </c>
      <c r="BK5" s="241">
        <v>13</v>
      </c>
      <c r="BL5" s="241">
        <v>22</v>
      </c>
      <c r="BM5" s="241">
        <v>42779</v>
      </c>
      <c r="BN5" s="241">
        <v>22</v>
      </c>
      <c r="BO5" s="241"/>
      <c r="BP5" s="241"/>
      <c r="BQ5" s="241"/>
      <c r="BR5" s="243">
        <f t="shared" si="1"/>
        <v>3.3571428571428572</v>
      </c>
      <c r="BS5" s="243">
        <f t="shared" si="2"/>
        <v>7.1071428571428568</v>
      </c>
    </row>
    <row r="6" spans="1:71">
      <c r="A6" s="111">
        <v>1361</v>
      </c>
      <c r="B6" s="111" t="s">
        <v>46</v>
      </c>
      <c r="C6" s="241">
        <v>2</v>
      </c>
      <c r="D6" s="241">
        <v>42109</v>
      </c>
      <c r="E6" s="241">
        <v>42135</v>
      </c>
      <c r="F6" s="241"/>
      <c r="G6" s="241"/>
      <c r="H6" s="241"/>
      <c r="I6" s="241"/>
      <c r="J6" s="241"/>
      <c r="K6" s="241"/>
      <c r="L6" s="241"/>
      <c r="M6" s="241">
        <v>1466.2</v>
      </c>
      <c r="N6" s="241">
        <v>4627.7</v>
      </c>
      <c r="O6" s="241"/>
      <c r="P6" s="241"/>
      <c r="Q6" s="241"/>
      <c r="R6" s="241"/>
      <c r="S6" s="241"/>
      <c r="T6" s="241"/>
      <c r="U6" s="241"/>
      <c r="V6" s="241">
        <v>3.46</v>
      </c>
      <c r="W6" s="241">
        <v>7.99</v>
      </c>
      <c r="X6" s="241"/>
      <c r="Y6" s="241"/>
      <c r="Z6" s="241"/>
      <c r="AA6" s="241"/>
      <c r="AB6" s="241"/>
      <c r="AC6" s="241"/>
      <c r="AD6" s="241"/>
      <c r="AE6" s="241">
        <v>46.4</v>
      </c>
      <c r="AF6" s="241">
        <v>94.06</v>
      </c>
      <c r="AG6" s="241"/>
      <c r="AH6" s="241"/>
      <c r="AI6" s="241"/>
      <c r="AJ6" s="241"/>
      <c r="AK6" s="241"/>
      <c r="AL6" s="241"/>
      <c r="AM6" s="241"/>
      <c r="AN6" s="241">
        <v>1980.19</v>
      </c>
      <c r="AO6" s="241">
        <v>1237.17</v>
      </c>
      <c r="AP6" s="241"/>
      <c r="AQ6" s="241"/>
      <c r="AR6" s="241"/>
      <c r="AS6" s="241"/>
      <c r="AT6" s="241"/>
      <c r="AU6" s="241"/>
      <c r="AV6" s="241"/>
      <c r="AW6" s="241">
        <v>43</v>
      </c>
      <c r="AX6" s="241">
        <v>41953</v>
      </c>
      <c r="AY6" s="241">
        <f t="shared" si="0"/>
        <v>-5</v>
      </c>
      <c r="AZ6" s="241">
        <v>37</v>
      </c>
      <c r="BA6" s="241">
        <v>42110</v>
      </c>
      <c r="BB6" s="241">
        <v>0</v>
      </c>
      <c r="BC6" s="241">
        <v>37</v>
      </c>
      <c r="BD6" s="241">
        <v>42198</v>
      </c>
      <c r="BE6" s="241">
        <v>3</v>
      </c>
      <c r="BF6" s="241">
        <v>16</v>
      </c>
      <c r="BG6" s="241">
        <v>42289</v>
      </c>
      <c r="BH6" s="241">
        <v>6</v>
      </c>
      <c r="BI6" s="241">
        <v>13</v>
      </c>
      <c r="BJ6" s="241">
        <v>42489</v>
      </c>
      <c r="BK6" s="241">
        <v>12</v>
      </c>
      <c r="BL6" s="241"/>
      <c r="BM6" s="241"/>
      <c r="BN6" s="241"/>
      <c r="BO6" s="241"/>
      <c r="BP6" s="241"/>
      <c r="BQ6" s="241"/>
      <c r="BR6" s="243">
        <f t="shared" si="1"/>
        <v>3.1428571428571428</v>
      </c>
      <c r="BS6" s="243">
        <f t="shared" si="2"/>
        <v>6.3928571428571432</v>
      </c>
    </row>
    <row r="7" spans="1:71">
      <c r="A7" s="111">
        <v>1265</v>
      </c>
      <c r="B7" s="111" t="s">
        <v>5</v>
      </c>
      <c r="C7" s="241">
        <v>4</v>
      </c>
      <c r="D7" s="241">
        <v>42110</v>
      </c>
      <c r="E7" s="241">
        <v>42136</v>
      </c>
      <c r="F7" s="241">
        <v>42454</v>
      </c>
      <c r="G7" s="241">
        <v>42480</v>
      </c>
      <c r="H7" s="241"/>
      <c r="I7" s="241"/>
      <c r="J7" s="241"/>
      <c r="K7" s="241"/>
      <c r="L7" s="241"/>
      <c r="M7" s="241">
        <v>943.7</v>
      </c>
      <c r="N7" s="241">
        <v>2024.1</v>
      </c>
      <c r="O7" s="241">
        <v>1299.1999999999998</v>
      </c>
      <c r="P7" s="241">
        <v>1700.3</v>
      </c>
      <c r="Q7" s="241"/>
      <c r="R7" s="241"/>
      <c r="S7" s="241"/>
      <c r="T7" s="241"/>
      <c r="U7" s="241"/>
      <c r="V7" s="241">
        <v>1.04</v>
      </c>
      <c r="W7" s="241">
        <v>1.33</v>
      </c>
      <c r="X7" s="241">
        <v>0.56000000000000005</v>
      </c>
      <c r="Y7" s="241">
        <v>0.66</v>
      </c>
      <c r="Z7" s="241"/>
      <c r="AA7" s="241"/>
      <c r="AB7" s="241"/>
      <c r="AC7" s="241"/>
      <c r="AD7" s="241"/>
      <c r="AE7" s="241">
        <v>30.84</v>
      </c>
      <c r="AF7" s="241">
        <v>55.06</v>
      </c>
      <c r="AG7" s="241">
        <v>25.92</v>
      </c>
      <c r="AH7" s="241">
        <v>26.06</v>
      </c>
      <c r="AI7" s="241"/>
      <c r="AJ7" s="241"/>
      <c r="AK7" s="241"/>
      <c r="AL7" s="241"/>
      <c r="AM7" s="241"/>
      <c r="AN7" s="241">
        <v>864.32399999999996</v>
      </c>
      <c r="AO7" s="241">
        <v>670.89</v>
      </c>
      <c r="AP7" s="241">
        <v>590.99400000000003</v>
      </c>
      <c r="AQ7" s="241">
        <v>632.66399999999999</v>
      </c>
      <c r="AR7" s="241"/>
      <c r="AS7" s="241"/>
      <c r="AT7" s="241"/>
      <c r="AU7" s="241"/>
      <c r="AV7" s="241"/>
      <c r="AW7" s="241">
        <v>41</v>
      </c>
      <c r="AX7" s="241">
        <v>41858</v>
      </c>
      <c r="AY7" s="241">
        <f t="shared" si="0"/>
        <v>-8</v>
      </c>
      <c r="AZ7" s="241">
        <v>34</v>
      </c>
      <c r="BA7" s="241">
        <v>42111</v>
      </c>
      <c r="BB7" s="241">
        <v>0</v>
      </c>
      <c r="BC7" s="241">
        <v>33</v>
      </c>
      <c r="BD7" s="241">
        <v>42240</v>
      </c>
      <c r="BE7" s="241">
        <v>4</v>
      </c>
      <c r="BF7" s="241">
        <v>33</v>
      </c>
      <c r="BG7" s="241">
        <v>42359</v>
      </c>
      <c r="BH7" s="241">
        <v>8</v>
      </c>
      <c r="BI7" s="241">
        <v>31</v>
      </c>
      <c r="BJ7" s="241">
        <v>42478</v>
      </c>
      <c r="BK7" s="241">
        <v>12</v>
      </c>
      <c r="BL7" s="241">
        <v>19</v>
      </c>
      <c r="BM7" s="241">
        <v>42814</v>
      </c>
      <c r="BN7" s="241">
        <v>23</v>
      </c>
      <c r="BO7" s="241">
        <v>9</v>
      </c>
      <c r="BP7" s="241">
        <v>43145</v>
      </c>
      <c r="BQ7" s="241">
        <v>34</v>
      </c>
      <c r="BR7" s="243">
        <f t="shared" si="1"/>
        <v>4.6071428571428568</v>
      </c>
      <c r="BS7" s="243">
        <f t="shared" si="2"/>
        <v>8.8571428571428577</v>
      </c>
    </row>
    <row r="8" spans="1:71">
      <c r="A8" s="111">
        <v>1186</v>
      </c>
      <c r="B8" s="111" t="s">
        <v>3</v>
      </c>
      <c r="C8" s="241">
        <v>4</v>
      </c>
      <c r="D8" s="241">
        <v>42116</v>
      </c>
      <c r="E8" s="241">
        <v>42142</v>
      </c>
      <c r="F8" s="241">
        <v>42489</v>
      </c>
      <c r="G8" s="241">
        <v>42515</v>
      </c>
      <c r="H8" s="241"/>
      <c r="I8" s="241"/>
      <c r="J8" s="241"/>
      <c r="K8" s="241"/>
      <c r="L8" s="241"/>
      <c r="M8" s="241">
        <v>884.80000000000007</v>
      </c>
      <c r="N8" s="241">
        <v>1458.8999999999999</v>
      </c>
      <c r="O8" s="241">
        <v>1114.5999999999999</v>
      </c>
      <c r="P8" s="241">
        <v>1316.2</v>
      </c>
      <c r="Q8" s="241"/>
      <c r="R8" s="241"/>
      <c r="S8" s="241"/>
      <c r="T8" s="241"/>
      <c r="U8" s="241"/>
      <c r="V8" s="241">
        <v>0.75</v>
      </c>
      <c r="W8" s="241">
        <v>1.24</v>
      </c>
      <c r="X8" s="241">
        <v>0.62</v>
      </c>
      <c r="Y8" s="241">
        <v>1.33</v>
      </c>
      <c r="Z8" s="241"/>
      <c r="AA8" s="241"/>
      <c r="AB8" s="241"/>
      <c r="AC8" s="241"/>
      <c r="AD8" s="241"/>
      <c r="AE8" s="241">
        <v>43.24</v>
      </c>
      <c r="AF8" s="241">
        <v>34.32</v>
      </c>
      <c r="AG8" s="241">
        <v>35.17</v>
      </c>
      <c r="AH8" s="241">
        <v>27.34</v>
      </c>
      <c r="AI8" s="241"/>
      <c r="AJ8" s="241"/>
      <c r="AK8" s="241"/>
      <c r="AL8" s="241"/>
      <c r="AM8" s="241"/>
      <c r="AN8" s="241">
        <v>625.25399999999991</v>
      </c>
      <c r="AO8" s="241">
        <v>397.96199999999999</v>
      </c>
      <c r="AP8" s="241">
        <v>517.24800000000005</v>
      </c>
      <c r="AQ8" s="241">
        <v>463.30799999999994</v>
      </c>
      <c r="AR8" s="241"/>
      <c r="AS8" s="241"/>
      <c r="AT8" s="241"/>
      <c r="AU8" s="241"/>
      <c r="AV8" s="241"/>
      <c r="AW8" s="241">
        <v>34</v>
      </c>
      <c r="AX8" s="241">
        <v>41908</v>
      </c>
      <c r="AY8" s="241">
        <f t="shared" si="0"/>
        <v>-7</v>
      </c>
      <c r="AZ8" s="241">
        <v>26</v>
      </c>
      <c r="BA8" s="241">
        <v>42117</v>
      </c>
      <c r="BB8" s="241">
        <v>0</v>
      </c>
      <c r="BC8" s="241">
        <v>25</v>
      </c>
      <c r="BD8" s="241">
        <v>42156</v>
      </c>
      <c r="BE8" s="241">
        <v>1</v>
      </c>
      <c r="BF8" s="241">
        <v>25</v>
      </c>
      <c r="BG8" s="241">
        <v>42488</v>
      </c>
      <c r="BH8" s="241">
        <f>ROUND((BG8-BA8)/30.5,0.5)</f>
        <v>12</v>
      </c>
      <c r="BI8" s="241">
        <v>25</v>
      </c>
      <c r="BJ8" s="241">
        <v>42583</v>
      </c>
      <c r="BK8" s="241">
        <f>ROUND((BJ8-BA8)/30.5,0.5)</f>
        <v>15</v>
      </c>
      <c r="BL8" s="241">
        <v>24</v>
      </c>
      <c r="BM8" s="241">
        <v>42744</v>
      </c>
      <c r="BN8" s="241">
        <f>ROUND((BM8-BA8)/30.5,0.5)</f>
        <v>21</v>
      </c>
      <c r="BO8" s="241">
        <v>23</v>
      </c>
      <c r="BP8" s="241">
        <v>42811</v>
      </c>
      <c r="BQ8" s="241">
        <f>ROUND((BP8-BA8)/30.5,0.5)</f>
        <v>23</v>
      </c>
      <c r="BR8" s="243">
        <f t="shared" si="1"/>
        <v>1.3928571428571428</v>
      </c>
      <c r="BS8" s="243">
        <f t="shared" si="2"/>
        <v>13.25</v>
      </c>
    </row>
    <row r="9" spans="1:71">
      <c r="A9" s="111">
        <v>1134</v>
      </c>
      <c r="B9" s="111" t="s">
        <v>54</v>
      </c>
      <c r="C9" s="241">
        <v>2</v>
      </c>
      <c r="D9" s="241">
        <v>42131</v>
      </c>
      <c r="E9" s="241">
        <v>42157</v>
      </c>
      <c r="F9" s="241"/>
      <c r="G9" s="241"/>
      <c r="H9" s="241"/>
      <c r="I9" s="241"/>
      <c r="J9" s="241"/>
      <c r="K9" s="241"/>
      <c r="L9" s="241"/>
      <c r="M9" s="241">
        <v>1213.9000000000001</v>
      </c>
      <c r="N9" s="241">
        <v>1686</v>
      </c>
      <c r="O9" s="241"/>
      <c r="P9" s="241"/>
      <c r="Q9" s="241"/>
      <c r="R9" s="241"/>
      <c r="S9" s="241"/>
      <c r="T9" s="241"/>
      <c r="U9" s="241"/>
      <c r="V9" s="241">
        <v>4.32</v>
      </c>
      <c r="W9" s="241">
        <v>3.46</v>
      </c>
      <c r="X9" s="241"/>
      <c r="Y9" s="241"/>
      <c r="Z9" s="241"/>
      <c r="AA9" s="241"/>
      <c r="AB9" s="241"/>
      <c r="AC9" s="241"/>
      <c r="AD9" s="241"/>
      <c r="AE9" s="241">
        <v>60.16</v>
      </c>
      <c r="AF9" s="241">
        <v>61.62</v>
      </c>
      <c r="AG9" s="241"/>
      <c r="AH9" s="241"/>
      <c r="AI9" s="241"/>
      <c r="AJ9" s="241"/>
      <c r="AK9" s="241"/>
      <c r="AL9" s="241"/>
      <c r="AM9" s="241"/>
      <c r="AN9" s="241">
        <v>1607.41</v>
      </c>
      <c r="AO9" s="241">
        <v>1298.51</v>
      </c>
      <c r="AP9" s="241"/>
      <c r="AQ9" s="241"/>
      <c r="AR9" s="241"/>
      <c r="AS9" s="241"/>
      <c r="AT9" s="241"/>
      <c r="AU9" s="241"/>
      <c r="AV9" s="241"/>
      <c r="AW9" s="241">
        <v>46</v>
      </c>
      <c r="AX9" s="241">
        <v>41661</v>
      </c>
      <c r="AY9" s="241">
        <f t="shared" si="0"/>
        <v>-15</v>
      </c>
      <c r="AZ9" s="241">
        <v>37</v>
      </c>
      <c r="BA9" s="241">
        <v>42132</v>
      </c>
      <c r="BB9" s="241">
        <v>0</v>
      </c>
      <c r="BC9" s="241">
        <v>35</v>
      </c>
      <c r="BD9" s="241">
        <v>42282</v>
      </c>
      <c r="BE9" s="241">
        <v>5</v>
      </c>
      <c r="BF9" s="241">
        <v>27</v>
      </c>
      <c r="BG9" s="241">
        <v>42562</v>
      </c>
      <c r="BH9" s="241">
        <v>14</v>
      </c>
      <c r="BI9" s="241">
        <v>19</v>
      </c>
      <c r="BJ9" s="241">
        <v>42821</v>
      </c>
      <c r="BK9" s="241">
        <v>23</v>
      </c>
      <c r="BL9" s="241">
        <v>13</v>
      </c>
      <c r="BM9" s="241">
        <v>43192</v>
      </c>
      <c r="BN9" s="241">
        <v>35</v>
      </c>
      <c r="BO9" s="241"/>
      <c r="BP9" s="241"/>
      <c r="BQ9" s="241"/>
      <c r="BR9" s="243">
        <f t="shared" si="1"/>
        <v>5.3571428571428568</v>
      </c>
      <c r="BS9" s="243">
        <f t="shared" si="2"/>
        <v>15.357142857142858</v>
      </c>
    </row>
    <row r="10" spans="1:71">
      <c r="A10" s="111">
        <v>1270</v>
      </c>
      <c r="B10" s="111" t="s">
        <v>7</v>
      </c>
      <c r="C10" s="241">
        <v>4</v>
      </c>
      <c r="D10" s="241">
        <v>42158</v>
      </c>
      <c r="E10" s="241">
        <v>42184</v>
      </c>
      <c r="F10" s="241">
        <v>42481</v>
      </c>
      <c r="G10" s="241">
        <v>42507</v>
      </c>
      <c r="H10" s="241"/>
      <c r="I10" s="241"/>
      <c r="J10" s="241"/>
      <c r="K10" s="241"/>
      <c r="L10" s="241"/>
      <c r="M10" s="241">
        <v>1618</v>
      </c>
      <c r="N10" s="241">
        <v>1362.1000000000001</v>
      </c>
      <c r="O10" s="241">
        <v>1312.1000000000001</v>
      </c>
      <c r="P10" s="241">
        <v>1819.6000000000001</v>
      </c>
      <c r="Q10" s="241"/>
      <c r="R10" s="241"/>
      <c r="S10" s="241"/>
      <c r="T10" s="241"/>
      <c r="U10" s="241"/>
      <c r="V10" s="241">
        <v>1.63</v>
      </c>
      <c r="W10" s="241">
        <v>1.43</v>
      </c>
      <c r="X10" s="241">
        <v>1.33</v>
      </c>
      <c r="Y10" s="241">
        <v>2.39</v>
      </c>
      <c r="Z10" s="241"/>
      <c r="AA10" s="241"/>
      <c r="AB10" s="241"/>
      <c r="AC10" s="241"/>
      <c r="AD10" s="241"/>
      <c r="AE10" s="241">
        <v>43.01</v>
      </c>
      <c r="AF10" s="241">
        <v>35.18</v>
      </c>
      <c r="AG10" s="241">
        <v>50.32</v>
      </c>
      <c r="AH10" s="241">
        <v>45.97</v>
      </c>
      <c r="AI10" s="241"/>
      <c r="AJ10" s="241"/>
      <c r="AK10" s="241"/>
      <c r="AL10" s="241"/>
      <c r="AM10" s="241"/>
      <c r="AN10" s="241">
        <v>650.28</v>
      </c>
      <c r="AO10" s="241">
        <v>529.62599999999998</v>
      </c>
      <c r="AP10" s="241">
        <v>892.24799999999993</v>
      </c>
      <c r="AQ10" s="241">
        <v>556.01400000000001</v>
      </c>
      <c r="AR10" s="241"/>
      <c r="AS10" s="241"/>
      <c r="AT10" s="241"/>
      <c r="AU10" s="241"/>
      <c r="AV10" s="241"/>
      <c r="AW10" s="241">
        <v>43</v>
      </c>
      <c r="AX10" s="241">
        <v>41858</v>
      </c>
      <c r="AY10" s="241">
        <f t="shared" si="0"/>
        <v>-10</v>
      </c>
      <c r="AZ10" s="241">
        <v>39</v>
      </c>
      <c r="BA10" s="241">
        <v>42159</v>
      </c>
      <c r="BB10" s="241">
        <v>0</v>
      </c>
      <c r="BC10" s="241">
        <v>38</v>
      </c>
      <c r="BD10" s="241">
        <v>42296</v>
      </c>
      <c r="BE10" s="241">
        <v>5</v>
      </c>
      <c r="BF10" s="241">
        <v>35</v>
      </c>
      <c r="BG10" s="241">
        <v>42394</v>
      </c>
      <c r="BH10" s="241">
        <f>ROUND((BG10-BA10)/30.5,0.5)</f>
        <v>8</v>
      </c>
      <c r="BI10" s="241">
        <v>33</v>
      </c>
      <c r="BJ10" s="241">
        <v>42481</v>
      </c>
      <c r="BK10" s="241">
        <f>ROUND((BJ10-BA10)/30.5,0.5)</f>
        <v>11</v>
      </c>
      <c r="BL10" s="241">
        <v>31</v>
      </c>
      <c r="BM10" s="241">
        <v>42534</v>
      </c>
      <c r="BN10" s="241">
        <f>ROUND((BM10-BA10)/30.5,0.5)</f>
        <v>12</v>
      </c>
      <c r="BO10" s="241">
        <v>31</v>
      </c>
      <c r="BP10" s="241">
        <v>42590</v>
      </c>
      <c r="BQ10" s="241">
        <f>ROUND((BP10-BA10)/30.5,0.5)</f>
        <v>14</v>
      </c>
      <c r="BR10" s="243">
        <f t="shared" si="1"/>
        <v>4.8928571428571432</v>
      </c>
      <c r="BS10" s="243">
        <f t="shared" si="2"/>
        <v>8.3928571428571423</v>
      </c>
    </row>
    <row r="11" spans="1:71">
      <c r="A11" s="111">
        <v>1301</v>
      </c>
      <c r="B11" s="111" t="s">
        <v>42</v>
      </c>
      <c r="C11" s="241">
        <v>2</v>
      </c>
      <c r="D11" s="241">
        <v>42158</v>
      </c>
      <c r="E11" s="241">
        <v>42184</v>
      </c>
      <c r="F11" s="241"/>
      <c r="G11" s="241"/>
      <c r="H11" s="241"/>
      <c r="I11" s="241"/>
      <c r="J11" s="241"/>
      <c r="K11" s="241"/>
      <c r="L11" s="241"/>
      <c r="M11" s="241">
        <v>885</v>
      </c>
      <c r="N11" s="241">
        <v>2557.5</v>
      </c>
      <c r="O11" s="241"/>
      <c r="P11" s="241"/>
      <c r="Q11" s="241"/>
      <c r="R11" s="241"/>
      <c r="S11" s="241"/>
      <c r="T11" s="241"/>
      <c r="U11" s="241"/>
      <c r="V11" s="241">
        <v>2.89</v>
      </c>
      <c r="W11" s="241">
        <v>5.03</v>
      </c>
      <c r="X11" s="241"/>
      <c r="Y11" s="241"/>
      <c r="Z11" s="241"/>
      <c r="AA11" s="241"/>
      <c r="AB11" s="241"/>
      <c r="AC11" s="241"/>
      <c r="AD11" s="241"/>
      <c r="AE11" s="241">
        <v>43.59</v>
      </c>
      <c r="AF11" s="241">
        <v>102.62</v>
      </c>
      <c r="AG11" s="241"/>
      <c r="AH11" s="241"/>
      <c r="AI11" s="241"/>
      <c r="AJ11" s="241"/>
      <c r="AK11" s="241"/>
      <c r="AL11" s="241"/>
      <c r="AM11" s="241"/>
      <c r="AN11" s="241">
        <v>1221.46</v>
      </c>
      <c r="AO11" s="241">
        <v>856.61</v>
      </c>
      <c r="AP11" s="241"/>
      <c r="AQ11" s="241"/>
      <c r="AR11" s="241"/>
      <c r="AS11" s="241"/>
      <c r="AT11" s="241"/>
      <c r="AU11" s="241"/>
      <c r="AV11" s="241"/>
      <c r="AW11" s="241">
        <v>45</v>
      </c>
      <c r="AX11" s="241">
        <v>41887</v>
      </c>
      <c r="AY11" s="241">
        <f t="shared" si="0"/>
        <v>-9</v>
      </c>
      <c r="AZ11" s="241">
        <v>39</v>
      </c>
      <c r="BA11" s="241">
        <v>42159</v>
      </c>
      <c r="BB11" s="241">
        <v>0</v>
      </c>
      <c r="BC11" s="241">
        <v>32</v>
      </c>
      <c r="BD11" s="241">
        <v>42296</v>
      </c>
      <c r="BE11" s="241">
        <v>5</v>
      </c>
      <c r="BF11" s="241">
        <v>25</v>
      </c>
      <c r="BG11" s="241">
        <v>42394</v>
      </c>
      <c r="BH11" s="241">
        <v>8</v>
      </c>
      <c r="BI11" s="241">
        <v>20</v>
      </c>
      <c r="BJ11" s="241">
        <v>42506</v>
      </c>
      <c r="BK11" s="241">
        <v>11</v>
      </c>
      <c r="BL11" s="241">
        <v>13</v>
      </c>
      <c r="BM11" s="241">
        <v>42885</v>
      </c>
      <c r="BN11" s="241">
        <v>24</v>
      </c>
      <c r="BO11" s="241">
        <v>11</v>
      </c>
      <c r="BP11" s="241">
        <v>43220</v>
      </c>
      <c r="BQ11" s="241">
        <v>35</v>
      </c>
      <c r="BR11" s="243">
        <f t="shared" si="1"/>
        <v>4.8928571428571432</v>
      </c>
      <c r="BS11" s="243">
        <f t="shared" si="2"/>
        <v>8.3928571428571423</v>
      </c>
    </row>
    <row r="12" spans="1:71">
      <c r="A12" s="111">
        <v>1180</v>
      </c>
      <c r="B12" s="111" t="s">
        <v>20</v>
      </c>
      <c r="C12" s="241">
        <v>2</v>
      </c>
      <c r="D12" s="241">
        <v>42166</v>
      </c>
      <c r="E12" s="241">
        <v>42192</v>
      </c>
      <c r="F12" s="241"/>
      <c r="G12" s="241"/>
      <c r="H12" s="241"/>
      <c r="I12" s="241"/>
      <c r="J12" s="241"/>
      <c r="K12" s="241"/>
      <c r="L12" s="241"/>
      <c r="M12" s="241">
        <v>1026.9000000000001</v>
      </c>
      <c r="N12" s="241">
        <v>1405</v>
      </c>
      <c r="O12" s="241"/>
      <c r="P12" s="241"/>
      <c r="Q12" s="241"/>
      <c r="R12" s="241"/>
      <c r="S12" s="241"/>
      <c r="T12" s="241"/>
      <c r="U12" s="241"/>
      <c r="V12" s="241">
        <v>2.75</v>
      </c>
      <c r="W12" s="241">
        <v>3.03</v>
      </c>
      <c r="X12" s="241"/>
      <c r="Y12" s="241"/>
      <c r="Z12" s="241"/>
      <c r="AA12" s="241"/>
      <c r="AB12" s="241"/>
      <c r="AC12" s="241"/>
      <c r="AD12" s="241"/>
      <c r="AE12" s="241">
        <v>39.270000000000003</v>
      </c>
      <c r="AF12" s="241">
        <v>33.47</v>
      </c>
      <c r="AG12" s="241"/>
      <c r="AH12" s="241"/>
      <c r="AI12" s="241"/>
      <c r="AJ12" s="241"/>
      <c r="AK12" s="241"/>
      <c r="AL12" s="241"/>
      <c r="AM12" s="241"/>
      <c r="AN12" s="241">
        <v>1401.89</v>
      </c>
      <c r="AO12" s="241">
        <v>1047.49</v>
      </c>
      <c r="AP12" s="241"/>
      <c r="AQ12" s="241"/>
      <c r="AR12" s="241"/>
      <c r="AS12" s="241"/>
      <c r="AT12" s="241"/>
      <c r="AU12" s="241"/>
      <c r="AV12" s="241"/>
      <c r="AW12" s="241">
        <v>40</v>
      </c>
      <c r="AX12" s="241">
        <v>41932</v>
      </c>
      <c r="AY12" s="241">
        <f t="shared" si="0"/>
        <v>-8</v>
      </c>
      <c r="AZ12" s="241">
        <v>32</v>
      </c>
      <c r="BA12" s="241">
        <v>42167</v>
      </c>
      <c r="BB12" s="241">
        <v>0</v>
      </c>
      <c r="BC12" s="241">
        <v>32</v>
      </c>
      <c r="BD12" s="241">
        <v>42296</v>
      </c>
      <c r="BE12" s="241">
        <v>4</v>
      </c>
      <c r="BF12" s="241">
        <v>30</v>
      </c>
      <c r="BG12" s="241">
        <v>42394</v>
      </c>
      <c r="BH12" s="241">
        <v>7</v>
      </c>
      <c r="BI12" s="241">
        <v>29</v>
      </c>
      <c r="BJ12" s="241">
        <v>42534</v>
      </c>
      <c r="BK12" s="241">
        <v>12</v>
      </c>
      <c r="BL12" s="241">
        <v>22</v>
      </c>
      <c r="BM12" s="241">
        <v>42849</v>
      </c>
      <c r="BN12" s="241">
        <v>22</v>
      </c>
      <c r="BO12" s="241"/>
      <c r="BP12" s="241"/>
      <c r="BQ12" s="241"/>
      <c r="BR12" s="243">
        <f t="shared" si="1"/>
        <v>4.6071428571428568</v>
      </c>
      <c r="BS12" s="243">
        <f t="shared" si="2"/>
        <v>8.1071428571428577</v>
      </c>
    </row>
    <row r="13" spans="1:71">
      <c r="A13" s="111">
        <v>1438</v>
      </c>
      <c r="B13" s="111" t="s">
        <v>55</v>
      </c>
      <c r="C13" s="241">
        <v>2</v>
      </c>
      <c r="D13" s="241">
        <v>42172</v>
      </c>
      <c r="E13" s="241">
        <v>42198</v>
      </c>
      <c r="F13" s="241"/>
      <c r="G13" s="241"/>
      <c r="H13" s="241"/>
      <c r="I13" s="241"/>
      <c r="J13" s="241"/>
      <c r="K13" s="241"/>
      <c r="L13" s="241"/>
      <c r="M13" s="241">
        <v>1072.7</v>
      </c>
      <c r="N13" s="241">
        <v>1385.1</v>
      </c>
      <c r="O13" s="241"/>
      <c r="P13" s="241"/>
      <c r="Q13" s="241"/>
      <c r="R13" s="241"/>
      <c r="S13" s="241"/>
      <c r="T13" s="241"/>
      <c r="U13" s="241"/>
      <c r="V13" s="241">
        <v>4.18</v>
      </c>
      <c r="W13" s="241">
        <v>10.93</v>
      </c>
      <c r="X13" s="241"/>
      <c r="Y13" s="241"/>
      <c r="Z13" s="241"/>
      <c r="AA13" s="241"/>
      <c r="AB13" s="241"/>
      <c r="AC13" s="241"/>
      <c r="AD13" s="241"/>
      <c r="AE13" s="241">
        <v>56.95</v>
      </c>
      <c r="AF13" s="241">
        <v>39.89</v>
      </c>
      <c r="AG13" s="241"/>
      <c r="AH13" s="241"/>
      <c r="AI13" s="241"/>
      <c r="AJ13" s="241"/>
      <c r="AK13" s="241"/>
      <c r="AL13" s="241"/>
      <c r="AM13" s="241"/>
      <c r="AN13" s="241">
        <v>1670.95</v>
      </c>
      <c r="AO13" s="241">
        <v>1061.5899999999999</v>
      </c>
      <c r="AP13" s="241"/>
      <c r="AQ13" s="241"/>
      <c r="AR13" s="241"/>
      <c r="AS13" s="241"/>
      <c r="AT13" s="241"/>
      <c r="AU13" s="241"/>
      <c r="AV13" s="241"/>
      <c r="AW13" s="241">
        <v>39</v>
      </c>
      <c r="AX13" s="241">
        <v>42034</v>
      </c>
      <c r="AY13" s="241">
        <f t="shared" si="0"/>
        <v>-5</v>
      </c>
      <c r="AZ13" s="241">
        <v>33</v>
      </c>
      <c r="BA13" s="241">
        <v>42173</v>
      </c>
      <c r="BB13" s="241">
        <v>0</v>
      </c>
      <c r="BC13" s="241">
        <v>26</v>
      </c>
      <c r="BD13" s="241">
        <v>42338</v>
      </c>
      <c r="BE13" s="241">
        <v>5</v>
      </c>
      <c r="BF13" s="241">
        <v>25</v>
      </c>
      <c r="BG13" s="241">
        <v>42580</v>
      </c>
      <c r="BH13" s="241">
        <v>13</v>
      </c>
      <c r="BI13" s="241">
        <v>20</v>
      </c>
      <c r="BJ13" s="241">
        <v>42898</v>
      </c>
      <c r="BK13" s="241">
        <v>24</v>
      </c>
      <c r="BL13" s="241">
        <v>17</v>
      </c>
      <c r="BM13" s="241">
        <v>43192</v>
      </c>
      <c r="BN13" s="241">
        <v>33</v>
      </c>
      <c r="BO13" s="241"/>
      <c r="BP13" s="241"/>
      <c r="BQ13" s="241"/>
      <c r="BR13" s="243">
        <f t="shared" si="1"/>
        <v>5.8928571428571432</v>
      </c>
      <c r="BS13" s="243">
        <f t="shared" si="2"/>
        <v>14.535714285714286</v>
      </c>
    </row>
    <row r="14" spans="1:71">
      <c r="A14" s="111">
        <v>1055</v>
      </c>
      <c r="B14" s="111" t="s">
        <v>21</v>
      </c>
      <c r="C14" s="241">
        <v>2</v>
      </c>
      <c r="D14" s="241">
        <v>42173</v>
      </c>
      <c r="E14" s="241">
        <v>42199</v>
      </c>
      <c r="F14" s="241"/>
      <c r="G14" s="241"/>
      <c r="H14" s="241"/>
      <c r="I14" s="241"/>
      <c r="J14" s="241"/>
      <c r="K14" s="241"/>
      <c r="L14" s="241"/>
      <c r="M14" s="241">
        <v>1467.8</v>
      </c>
      <c r="N14" s="241">
        <v>2129.9</v>
      </c>
      <c r="O14" s="241"/>
      <c r="P14" s="241"/>
      <c r="Q14" s="241"/>
      <c r="R14" s="241"/>
      <c r="S14" s="241"/>
      <c r="T14" s="241"/>
      <c r="U14" s="241"/>
      <c r="V14" s="241">
        <v>2.6</v>
      </c>
      <c r="W14" s="241">
        <v>2.89</v>
      </c>
      <c r="X14" s="241"/>
      <c r="Y14" s="241"/>
      <c r="Z14" s="241"/>
      <c r="AA14" s="241"/>
      <c r="AB14" s="241"/>
      <c r="AC14" s="241"/>
      <c r="AD14" s="241"/>
      <c r="AE14" s="241">
        <v>41.14</v>
      </c>
      <c r="AF14" s="241">
        <v>40.729999999999997</v>
      </c>
      <c r="AG14" s="241"/>
      <c r="AH14" s="241"/>
      <c r="AI14" s="241"/>
      <c r="AJ14" s="241"/>
      <c r="AK14" s="241"/>
      <c r="AL14" s="241"/>
      <c r="AM14" s="241"/>
      <c r="AN14" s="241">
        <v>575.21</v>
      </c>
      <c r="AO14" s="241">
        <v>512.72</v>
      </c>
      <c r="AP14" s="241"/>
      <c r="AQ14" s="241"/>
      <c r="AR14" s="241"/>
      <c r="AS14" s="241"/>
      <c r="AT14" s="241"/>
      <c r="AU14" s="241"/>
      <c r="AV14" s="241"/>
      <c r="AW14" s="241">
        <v>45</v>
      </c>
      <c r="AX14" s="241">
        <v>41541</v>
      </c>
      <c r="AY14" s="241">
        <f t="shared" si="0"/>
        <v>-21</v>
      </c>
      <c r="AZ14" s="241">
        <v>35</v>
      </c>
      <c r="BA14" s="241">
        <v>42174</v>
      </c>
      <c r="BB14" s="241">
        <v>0</v>
      </c>
      <c r="BC14" s="241">
        <v>36</v>
      </c>
      <c r="BD14" s="241">
        <v>42282</v>
      </c>
      <c r="BE14" s="241">
        <v>4</v>
      </c>
      <c r="BF14" s="241">
        <v>36</v>
      </c>
      <c r="BG14" s="241">
        <v>42380</v>
      </c>
      <c r="BH14" s="241">
        <v>7</v>
      </c>
      <c r="BI14" s="241">
        <v>36</v>
      </c>
      <c r="BJ14" s="241">
        <v>42541</v>
      </c>
      <c r="BK14" s="241">
        <v>12</v>
      </c>
      <c r="BL14" s="241"/>
      <c r="BM14" s="241"/>
      <c r="BN14" s="241"/>
      <c r="BO14" s="241"/>
      <c r="BP14" s="241"/>
      <c r="BQ14" s="241"/>
      <c r="BR14" s="243">
        <f t="shared" si="1"/>
        <v>3.8571428571428572</v>
      </c>
      <c r="BS14" s="243">
        <f t="shared" si="2"/>
        <v>7.3571428571428568</v>
      </c>
    </row>
    <row r="15" spans="1:71">
      <c r="A15" s="111">
        <v>1306</v>
      </c>
      <c r="B15" s="111" t="s">
        <v>41</v>
      </c>
      <c r="C15" s="241">
        <v>2</v>
      </c>
      <c r="D15" s="241">
        <v>42187</v>
      </c>
      <c r="E15" s="241">
        <v>42213</v>
      </c>
      <c r="F15" s="241"/>
      <c r="G15" s="241"/>
      <c r="H15" s="241"/>
      <c r="I15" s="241"/>
      <c r="J15" s="241"/>
      <c r="K15" s="241"/>
      <c r="L15" s="241"/>
      <c r="M15" s="241">
        <v>1200.5999999999999</v>
      </c>
      <c r="N15" s="241">
        <v>2329.6</v>
      </c>
      <c r="O15" s="241"/>
      <c r="P15" s="241"/>
      <c r="Q15" s="241"/>
      <c r="R15" s="241"/>
      <c r="S15" s="241"/>
      <c r="T15" s="241"/>
      <c r="U15" s="241"/>
      <c r="V15" s="241">
        <v>2.17</v>
      </c>
      <c r="W15" s="241">
        <v>3.75</v>
      </c>
      <c r="X15" s="241"/>
      <c r="Y15" s="241"/>
      <c r="Z15" s="241"/>
      <c r="AA15" s="241"/>
      <c r="AB15" s="241"/>
      <c r="AC15" s="241"/>
      <c r="AD15" s="241"/>
      <c r="AE15" s="241">
        <v>45.64</v>
      </c>
      <c r="AF15" s="241">
        <v>114.32</v>
      </c>
      <c r="AG15" s="241"/>
      <c r="AH15" s="241"/>
      <c r="AI15" s="241"/>
      <c r="AJ15" s="241"/>
      <c r="AK15" s="241"/>
      <c r="AL15" s="241"/>
      <c r="AM15" s="241"/>
      <c r="AN15" s="241">
        <v>841.38</v>
      </c>
      <c r="AO15" s="241">
        <v>885.51</v>
      </c>
      <c r="AP15" s="241"/>
      <c r="AQ15" s="241"/>
      <c r="AR15" s="241"/>
      <c r="AS15" s="241"/>
      <c r="AT15" s="241"/>
      <c r="AU15" s="241"/>
      <c r="AV15" s="241"/>
      <c r="AW15" s="241">
        <v>45</v>
      </c>
      <c r="AX15" s="241">
        <v>41904</v>
      </c>
      <c r="AY15" s="241">
        <f t="shared" si="0"/>
        <v>-9</v>
      </c>
      <c r="AZ15" s="241">
        <v>43</v>
      </c>
      <c r="BA15" s="241">
        <v>42188</v>
      </c>
      <c r="BB15" s="241">
        <v>0</v>
      </c>
      <c r="BC15" s="241">
        <v>41</v>
      </c>
      <c r="BD15" s="241">
        <v>42240</v>
      </c>
      <c r="BE15" s="241">
        <v>2</v>
      </c>
      <c r="BF15" s="241">
        <v>36</v>
      </c>
      <c r="BG15" s="241">
        <v>42366</v>
      </c>
      <c r="BH15" s="241">
        <v>6</v>
      </c>
      <c r="BI15" s="241">
        <v>32</v>
      </c>
      <c r="BJ15" s="241">
        <v>42552</v>
      </c>
      <c r="BK15" s="241">
        <v>12</v>
      </c>
      <c r="BL15" s="241">
        <v>33</v>
      </c>
      <c r="BM15" s="241">
        <v>42881</v>
      </c>
      <c r="BN15" s="241">
        <v>23</v>
      </c>
      <c r="BO15" s="241">
        <v>10</v>
      </c>
      <c r="BP15" s="241">
        <v>43248</v>
      </c>
      <c r="BQ15" s="241">
        <v>35</v>
      </c>
      <c r="BR15" s="243">
        <f t="shared" si="1"/>
        <v>1.8571428571428572</v>
      </c>
      <c r="BS15" s="243">
        <f t="shared" si="2"/>
        <v>6.3571428571428568</v>
      </c>
    </row>
    <row r="16" spans="1:71">
      <c r="A16" s="111">
        <v>973</v>
      </c>
      <c r="B16" s="111" t="s">
        <v>24</v>
      </c>
      <c r="C16" s="241">
        <v>2</v>
      </c>
      <c r="D16" s="241">
        <v>42193</v>
      </c>
      <c r="E16" s="241">
        <v>42219</v>
      </c>
      <c r="F16" s="241"/>
      <c r="G16" s="241"/>
      <c r="H16" s="241"/>
      <c r="I16" s="241"/>
      <c r="J16" s="241"/>
      <c r="K16" s="241"/>
      <c r="L16" s="241"/>
      <c r="M16" s="241">
        <v>748</v>
      </c>
      <c r="N16" s="241">
        <v>1230.1000000000001</v>
      </c>
      <c r="O16" s="241"/>
      <c r="P16" s="241"/>
      <c r="Q16" s="241"/>
      <c r="R16" s="241"/>
      <c r="S16" s="241"/>
      <c r="T16" s="241"/>
      <c r="U16" s="241"/>
      <c r="V16" s="241">
        <v>2.0299999999999998</v>
      </c>
      <c r="W16" s="241">
        <v>3.03</v>
      </c>
      <c r="X16" s="241"/>
      <c r="Y16" s="241"/>
      <c r="Z16" s="241"/>
      <c r="AA16" s="241"/>
      <c r="AB16" s="241"/>
      <c r="AC16" s="241"/>
      <c r="AD16" s="241"/>
      <c r="AE16" s="241">
        <v>38.56</v>
      </c>
      <c r="AF16" s="241">
        <v>61.91</v>
      </c>
      <c r="AG16" s="241"/>
      <c r="AH16" s="241"/>
      <c r="AI16" s="241"/>
      <c r="AJ16" s="241"/>
      <c r="AK16" s="241"/>
      <c r="AL16" s="241"/>
      <c r="AM16" s="241"/>
      <c r="AN16" s="241">
        <v>763.37</v>
      </c>
      <c r="AO16" s="241">
        <v>577.07000000000005</v>
      </c>
      <c r="AP16" s="241"/>
      <c r="AQ16" s="241"/>
      <c r="AR16" s="241"/>
      <c r="AS16" s="241"/>
      <c r="AT16" s="241"/>
      <c r="AU16" s="241"/>
      <c r="AV16" s="241"/>
      <c r="AW16" s="241">
        <v>46</v>
      </c>
      <c r="AX16" s="241">
        <v>41359</v>
      </c>
      <c r="AY16" s="241">
        <f t="shared" si="0"/>
        <v>-27</v>
      </c>
      <c r="AZ16" s="241">
        <v>40</v>
      </c>
      <c r="BA16" s="241">
        <v>42194</v>
      </c>
      <c r="BB16" s="241">
        <v>0</v>
      </c>
      <c r="BC16" s="241">
        <v>40</v>
      </c>
      <c r="BD16" s="241">
        <v>42394</v>
      </c>
      <c r="BE16" s="241">
        <v>7</v>
      </c>
      <c r="BF16" s="241">
        <v>40</v>
      </c>
      <c r="BG16" s="241">
        <v>42569</v>
      </c>
      <c r="BH16" s="241">
        <v>12</v>
      </c>
      <c r="BI16" s="241">
        <v>39</v>
      </c>
      <c r="BJ16" s="241">
        <v>43255</v>
      </c>
      <c r="BK16" s="241">
        <v>35</v>
      </c>
      <c r="BL16" s="241"/>
      <c r="BM16" s="241"/>
      <c r="BN16" s="241"/>
      <c r="BO16" s="241"/>
      <c r="BP16" s="241"/>
      <c r="BQ16" s="241"/>
      <c r="BR16" s="243">
        <f t="shared" si="1"/>
        <v>7.1428571428571432</v>
      </c>
      <c r="BS16" s="243">
        <f t="shared" si="2"/>
        <v>13.392857142857142</v>
      </c>
    </row>
    <row r="17" spans="1:71">
      <c r="A17" s="111">
        <v>1240</v>
      </c>
      <c r="B17" s="111" t="s">
        <v>56</v>
      </c>
      <c r="C17" s="241">
        <v>2</v>
      </c>
      <c r="D17" s="241">
        <v>42214</v>
      </c>
      <c r="E17" s="241">
        <v>42240</v>
      </c>
      <c r="F17" s="241"/>
      <c r="G17" s="241"/>
      <c r="H17" s="241"/>
      <c r="I17" s="241"/>
      <c r="J17" s="241"/>
      <c r="K17" s="241"/>
      <c r="L17" s="241"/>
      <c r="M17" s="241">
        <v>933.9</v>
      </c>
      <c r="N17" s="241">
        <v>1168.5</v>
      </c>
      <c r="O17" s="241"/>
      <c r="P17" s="241"/>
      <c r="Q17" s="241"/>
      <c r="R17" s="241"/>
      <c r="S17" s="241"/>
      <c r="T17" s="241"/>
      <c r="U17" s="241"/>
      <c r="V17" s="241">
        <v>2.0299999999999998</v>
      </c>
      <c r="W17" s="241">
        <v>1.88</v>
      </c>
      <c r="X17" s="241"/>
      <c r="Y17" s="241"/>
      <c r="Z17" s="241"/>
      <c r="AA17" s="241"/>
      <c r="AB17" s="241"/>
      <c r="AC17" s="241"/>
      <c r="AD17" s="241"/>
      <c r="AE17" s="241">
        <v>39.89</v>
      </c>
      <c r="AF17" s="241">
        <v>38.18</v>
      </c>
      <c r="AG17" s="241"/>
      <c r="AH17" s="241"/>
      <c r="AI17" s="241"/>
      <c r="AJ17" s="241"/>
      <c r="AK17" s="241"/>
      <c r="AL17" s="241"/>
      <c r="AM17" s="241"/>
      <c r="AN17" s="241">
        <v>811.2</v>
      </c>
      <c r="AO17" s="241">
        <v>666.37</v>
      </c>
      <c r="AP17" s="241"/>
      <c r="AQ17" s="241"/>
      <c r="AR17" s="241"/>
      <c r="AS17" s="241"/>
      <c r="AT17" s="241"/>
      <c r="AU17" s="241"/>
      <c r="AV17" s="241"/>
      <c r="AW17" s="241">
        <v>42</v>
      </c>
      <c r="AX17" s="241">
        <v>41816</v>
      </c>
      <c r="AY17" s="241">
        <f t="shared" si="0"/>
        <v>-13</v>
      </c>
      <c r="AZ17" s="241">
        <v>38</v>
      </c>
      <c r="BA17" s="241">
        <v>42215</v>
      </c>
      <c r="BB17" s="241">
        <v>0</v>
      </c>
      <c r="BC17" s="241">
        <v>38</v>
      </c>
      <c r="BD17" s="241">
        <v>42366</v>
      </c>
      <c r="BE17" s="241">
        <v>5</v>
      </c>
      <c r="BF17" s="241">
        <v>27</v>
      </c>
      <c r="BG17" s="241">
        <v>42632</v>
      </c>
      <c r="BH17" s="241">
        <v>14</v>
      </c>
      <c r="BI17" s="241"/>
      <c r="BJ17" s="241"/>
      <c r="BK17" s="241"/>
      <c r="BL17" s="241"/>
      <c r="BM17" s="241"/>
      <c r="BN17" s="241"/>
      <c r="BO17" s="241"/>
      <c r="BP17" s="241"/>
      <c r="BQ17" s="241"/>
      <c r="BR17" s="243">
        <f t="shared" si="1"/>
        <v>5.3928571428571432</v>
      </c>
      <c r="BS17" s="243">
        <f t="shared" si="2"/>
        <v>14.892857142857142</v>
      </c>
    </row>
    <row r="18" spans="1:71">
      <c r="A18" s="111">
        <v>1440</v>
      </c>
      <c r="B18" s="111" t="s">
        <v>79</v>
      </c>
      <c r="C18" s="241">
        <v>2</v>
      </c>
      <c r="D18" s="241">
        <v>42215</v>
      </c>
      <c r="E18" s="241">
        <v>42268</v>
      </c>
      <c r="F18" s="241"/>
      <c r="G18" s="241"/>
      <c r="H18" s="241"/>
      <c r="I18" s="241"/>
      <c r="J18" s="241"/>
      <c r="K18" s="241"/>
      <c r="L18" s="241"/>
      <c r="M18" s="241">
        <v>814.73</v>
      </c>
      <c r="N18" s="241">
        <v>1565.2</v>
      </c>
      <c r="O18" s="241"/>
      <c r="P18" s="241"/>
      <c r="Q18" s="241"/>
      <c r="R18" s="241"/>
      <c r="S18" s="241"/>
      <c r="T18" s="241"/>
      <c r="U18" s="241"/>
      <c r="V18" s="241">
        <v>2</v>
      </c>
      <c r="W18" s="241">
        <v>2.23</v>
      </c>
      <c r="X18" s="241"/>
      <c r="Y18" s="241"/>
      <c r="Z18" s="241"/>
      <c r="AA18" s="241"/>
      <c r="AB18" s="241"/>
      <c r="AC18" s="241"/>
      <c r="AD18" s="241"/>
      <c r="AE18" s="241">
        <v>37.74</v>
      </c>
      <c r="AF18" s="241">
        <v>64.59</v>
      </c>
      <c r="AG18" s="241"/>
      <c r="AH18" s="241"/>
      <c r="AI18" s="241"/>
      <c r="AJ18" s="241"/>
      <c r="AK18" s="241"/>
      <c r="AL18" s="241"/>
      <c r="AM18" s="241"/>
      <c r="AN18" s="241">
        <v>801</v>
      </c>
      <c r="AO18" s="241">
        <v>579.04999999999995</v>
      </c>
      <c r="AP18" s="241"/>
      <c r="AQ18" s="241"/>
      <c r="AR18" s="241"/>
      <c r="AS18" s="241"/>
      <c r="AT18" s="241"/>
      <c r="AU18" s="241"/>
      <c r="AV18" s="241"/>
      <c r="AW18" s="241">
        <v>43</v>
      </c>
      <c r="AX18" s="241">
        <v>42034</v>
      </c>
      <c r="AY18" s="241">
        <f t="shared" si="0"/>
        <v>-6</v>
      </c>
      <c r="AZ18" s="241">
        <v>36</v>
      </c>
      <c r="BA18" s="241">
        <v>42216</v>
      </c>
      <c r="BB18" s="241">
        <v>0</v>
      </c>
      <c r="BC18" s="241">
        <v>36</v>
      </c>
      <c r="BD18" s="241">
        <v>42389</v>
      </c>
      <c r="BE18" s="241">
        <v>6</v>
      </c>
      <c r="BF18" s="241">
        <v>36</v>
      </c>
      <c r="BG18" s="241">
        <v>42457</v>
      </c>
      <c r="BH18" s="241">
        <v>8</v>
      </c>
      <c r="BI18" s="241">
        <v>32</v>
      </c>
      <c r="BJ18" s="241">
        <v>42583</v>
      </c>
      <c r="BK18" s="241">
        <v>12</v>
      </c>
      <c r="BL18" s="241"/>
      <c r="BM18" s="241"/>
      <c r="BN18" s="241"/>
      <c r="BO18" s="241"/>
      <c r="BP18" s="241"/>
      <c r="BQ18" s="241"/>
      <c r="BR18" s="243">
        <f t="shared" si="1"/>
        <v>6.1785714285714288</v>
      </c>
      <c r="BS18" s="243">
        <f t="shared" si="2"/>
        <v>8.6071428571428577</v>
      </c>
    </row>
    <row r="19" spans="1:71">
      <c r="A19" s="111">
        <v>1464</v>
      </c>
      <c r="B19" s="111" t="s">
        <v>22</v>
      </c>
      <c r="C19" s="241">
        <v>2</v>
      </c>
      <c r="D19" s="241">
        <v>42221</v>
      </c>
      <c r="E19" s="241">
        <v>42247</v>
      </c>
      <c r="F19" s="241"/>
      <c r="G19" s="241"/>
      <c r="H19" s="241"/>
      <c r="I19" s="241"/>
      <c r="J19" s="241"/>
      <c r="K19" s="241"/>
      <c r="L19" s="241"/>
      <c r="M19" s="241">
        <v>836.5</v>
      </c>
      <c r="N19" s="241">
        <v>1191.1199999999999</v>
      </c>
      <c r="O19" s="241"/>
      <c r="P19" s="241"/>
      <c r="Q19" s="241"/>
      <c r="R19" s="241"/>
      <c r="S19" s="241"/>
      <c r="T19" s="241"/>
      <c r="U19" s="241"/>
      <c r="V19" s="241">
        <v>2.08</v>
      </c>
      <c r="W19" s="241">
        <v>4.32</v>
      </c>
      <c r="X19" s="241"/>
      <c r="Y19" s="241"/>
      <c r="Z19" s="241"/>
      <c r="AA19" s="241"/>
      <c r="AB19" s="241"/>
      <c r="AC19" s="241"/>
      <c r="AD19" s="241"/>
      <c r="AE19" s="241">
        <v>43.35</v>
      </c>
      <c r="AF19" s="241">
        <v>59.19</v>
      </c>
      <c r="AG19" s="241"/>
      <c r="AH19" s="241"/>
      <c r="AI19" s="241"/>
      <c r="AJ19" s="241"/>
      <c r="AK19" s="241"/>
      <c r="AL19" s="241"/>
      <c r="AM19" s="241"/>
      <c r="AN19" s="241">
        <v>1357.64</v>
      </c>
      <c r="AO19" s="241">
        <v>926.75</v>
      </c>
      <c r="AP19" s="241"/>
      <c r="AQ19" s="241"/>
      <c r="AR19" s="241"/>
      <c r="AS19" s="241"/>
      <c r="AT19" s="241"/>
      <c r="AU19" s="241"/>
      <c r="AV19" s="241"/>
      <c r="AW19" s="241">
        <v>39</v>
      </c>
      <c r="AX19" s="241">
        <v>42062</v>
      </c>
      <c r="AY19" s="241">
        <f t="shared" si="0"/>
        <v>-5</v>
      </c>
      <c r="AZ19" s="241">
        <v>30</v>
      </c>
      <c r="BA19" s="241">
        <v>42222</v>
      </c>
      <c r="BB19" s="241">
        <v>0</v>
      </c>
      <c r="BC19" s="241">
        <v>25</v>
      </c>
      <c r="BD19" s="241">
        <v>42317</v>
      </c>
      <c r="BE19" s="241">
        <v>3</v>
      </c>
      <c r="BF19" s="241">
        <v>21</v>
      </c>
      <c r="BG19" s="241">
        <v>42443</v>
      </c>
      <c r="BH19" s="241">
        <v>7</v>
      </c>
      <c r="BI19" s="241">
        <v>14</v>
      </c>
      <c r="BJ19" s="241">
        <v>42639</v>
      </c>
      <c r="BK19" s="241">
        <v>14</v>
      </c>
      <c r="BL19" s="241">
        <v>1</v>
      </c>
      <c r="BM19" s="241">
        <v>43283</v>
      </c>
      <c r="BN19" s="241">
        <v>35</v>
      </c>
      <c r="BO19" s="241"/>
      <c r="BP19" s="241"/>
      <c r="BQ19" s="241"/>
      <c r="BR19" s="243">
        <f t="shared" si="1"/>
        <v>3.3928571428571428</v>
      </c>
      <c r="BS19" s="243">
        <f t="shared" si="2"/>
        <v>7.8928571428571432</v>
      </c>
    </row>
    <row r="20" spans="1:71">
      <c r="A20" s="111">
        <v>1557</v>
      </c>
      <c r="B20" s="111" t="s">
        <v>75</v>
      </c>
      <c r="C20" s="241">
        <v>2</v>
      </c>
      <c r="D20" s="241">
        <v>42223</v>
      </c>
      <c r="E20" s="241">
        <v>42249</v>
      </c>
      <c r="F20" s="241"/>
      <c r="G20" s="241"/>
      <c r="H20" s="241"/>
      <c r="I20" s="241"/>
      <c r="J20" s="241"/>
      <c r="K20" s="241"/>
      <c r="L20" s="241"/>
      <c r="M20" s="241">
        <v>1538.8</v>
      </c>
      <c r="N20" s="241">
        <v>1951.8000000000002</v>
      </c>
      <c r="O20" s="241"/>
      <c r="P20" s="241"/>
      <c r="Q20" s="241"/>
      <c r="R20" s="241"/>
      <c r="S20" s="241"/>
      <c r="T20" s="241"/>
      <c r="U20" s="241"/>
      <c r="V20" s="241">
        <v>4.47</v>
      </c>
      <c r="W20" s="241">
        <v>7.86</v>
      </c>
      <c r="X20" s="241"/>
      <c r="Y20" s="241"/>
      <c r="Z20" s="241"/>
      <c r="AA20" s="241"/>
      <c r="AB20" s="241"/>
      <c r="AC20" s="241"/>
      <c r="AD20" s="241"/>
      <c r="AE20" s="241">
        <v>55.62</v>
      </c>
      <c r="AF20" s="241">
        <v>69.56</v>
      </c>
      <c r="AG20" s="241"/>
      <c r="AH20" s="241"/>
      <c r="AI20" s="241"/>
      <c r="AJ20" s="241"/>
      <c r="AK20" s="241"/>
      <c r="AL20" s="241"/>
      <c r="AM20" s="241"/>
      <c r="AN20" s="241">
        <v>1102.21</v>
      </c>
      <c r="AO20" s="241">
        <v>1159.42</v>
      </c>
      <c r="AP20" s="241"/>
      <c r="AQ20" s="241"/>
      <c r="AR20" s="241"/>
      <c r="AS20" s="241"/>
      <c r="AT20" s="241"/>
      <c r="AU20" s="241"/>
      <c r="AV20" s="241"/>
      <c r="AW20" s="241">
        <v>32</v>
      </c>
      <c r="AX20" s="241">
        <v>42194</v>
      </c>
      <c r="AY20" s="241">
        <f t="shared" si="0"/>
        <v>-1</v>
      </c>
      <c r="AZ20" s="241">
        <v>29</v>
      </c>
      <c r="BA20" s="241">
        <v>42223</v>
      </c>
      <c r="BB20" s="241">
        <v>0</v>
      </c>
      <c r="BC20" s="241"/>
      <c r="BD20" s="241"/>
      <c r="BE20" s="241"/>
      <c r="BF20" s="241"/>
      <c r="BG20" s="241"/>
      <c r="BH20" s="241"/>
      <c r="BI20" s="241"/>
      <c r="BJ20" s="241"/>
      <c r="BK20" s="241"/>
      <c r="BL20" s="241"/>
      <c r="BM20" s="241"/>
      <c r="BN20" s="241"/>
      <c r="BO20" s="241"/>
      <c r="BP20" s="241"/>
      <c r="BQ20" s="241"/>
      <c r="BR20" s="243">
        <f t="shared" si="1"/>
        <v>-1507.9642857142858</v>
      </c>
      <c r="BS20" s="243">
        <f t="shared" si="2"/>
        <v>-1507.9642857142858</v>
      </c>
    </row>
    <row r="21" spans="1:71">
      <c r="A21" s="111">
        <v>1478</v>
      </c>
      <c r="B21" s="111" t="s">
        <v>45</v>
      </c>
      <c r="C21" s="241">
        <v>2</v>
      </c>
      <c r="D21" s="241">
        <v>42235</v>
      </c>
      <c r="E21" s="241">
        <v>42261</v>
      </c>
      <c r="F21" s="241"/>
      <c r="G21" s="241"/>
      <c r="H21" s="241"/>
      <c r="I21" s="241"/>
      <c r="J21" s="241"/>
      <c r="K21" s="241"/>
      <c r="L21" s="241"/>
      <c r="M21" s="241">
        <v>703.29</v>
      </c>
      <c r="N21" s="241">
        <v>1437.73</v>
      </c>
      <c r="O21" s="241"/>
      <c r="P21" s="241"/>
      <c r="Q21" s="241"/>
      <c r="R21" s="241"/>
      <c r="S21" s="241"/>
      <c r="T21" s="241"/>
      <c r="U21" s="241"/>
      <c r="V21" s="241">
        <v>2.08</v>
      </c>
      <c r="W21" s="241">
        <v>2.98</v>
      </c>
      <c r="X21" s="241"/>
      <c r="Y21" s="241"/>
      <c r="Z21" s="241"/>
      <c r="AA21" s="241"/>
      <c r="AB21" s="241"/>
      <c r="AC21" s="241"/>
      <c r="AD21" s="241"/>
      <c r="AE21" s="241">
        <v>50.81</v>
      </c>
      <c r="AF21" s="241">
        <v>62.65</v>
      </c>
      <c r="AG21" s="241"/>
      <c r="AH21" s="241"/>
      <c r="AI21" s="241"/>
      <c r="AJ21" s="241"/>
      <c r="AK21" s="241"/>
      <c r="AL21" s="241"/>
      <c r="AM21" s="241"/>
      <c r="AN21" s="241">
        <v>1459.92</v>
      </c>
      <c r="AO21" s="241">
        <v>1390.94</v>
      </c>
      <c r="AP21" s="241"/>
      <c r="AQ21" s="241"/>
      <c r="AR21" s="241"/>
      <c r="AS21" s="241"/>
      <c r="AT21" s="241"/>
      <c r="AU21" s="241"/>
      <c r="AV21" s="241"/>
      <c r="AW21" s="241">
        <v>45</v>
      </c>
      <c r="AX21" s="241">
        <v>42090</v>
      </c>
      <c r="AY21" s="241">
        <f t="shared" si="0"/>
        <v>-5</v>
      </c>
      <c r="AZ21" s="241">
        <v>45</v>
      </c>
      <c r="BA21" s="241">
        <v>42236</v>
      </c>
      <c r="BB21" s="241">
        <v>0</v>
      </c>
      <c r="BC21" s="241">
        <v>45</v>
      </c>
      <c r="BD21" s="241">
        <v>42292</v>
      </c>
      <c r="BE21" s="241">
        <v>2</v>
      </c>
      <c r="BF21" s="241">
        <v>35</v>
      </c>
      <c r="BG21" s="241">
        <v>42429</v>
      </c>
      <c r="BH21" s="241">
        <v>6</v>
      </c>
      <c r="BI21" s="241">
        <v>34</v>
      </c>
      <c r="BJ21" s="241">
        <v>42496</v>
      </c>
      <c r="BK21" s="241">
        <v>9</v>
      </c>
      <c r="BL21" s="241">
        <v>14</v>
      </c>
      <c r="BM21" s="241">
        <v>42891</v>
      </c>
      <c r="BN21" s="241">
        <v>22</v>
      </c>
      <c r="BO21" s="241"/>
      <c r="BP21" s="241"/>
      <c r="BQ21" s="241"/>
      <c r="BR21" s="243">
        <f t="shared" si="1"/>
        <v>2</v>
      </c>
      <c r="BS21" s="243">
        <f t="shared" si="2"/>
        <v>6.8928571428571432</v>
      </c>
    </row>
    <row r="22" spans="1:71">
      <c r="A22" s="111">
        <v>1504</v>
      </c>
      <c r="B22" s="111" t="s">
        <v>35</v>
      </c>
      <c r="C22" s="241">
        <v>2</v>
      </c>
      <c r="D22" s="241">
        <v>42236</v>
      </c>
      <c r="E22" s="241">
        <v>42262</v>
      </c>
      <c r="F22" s="241"/>
      <c r="G22" s="241"/>
      <c r="H22" s="241"/>
      <c r="I22" s="241"/>
      <c r="J22" s="241"/>
      <c r="K22" s="241"/>
      <c r="L22" s="241"/>
      <c r="M22" s="241">
        <v>933.24</v>
      </c>
      <c r="N22" s="241">
        <v>1216.67</v>
      </c>
      <c r="O22" s="241"/>
      <c r="P22" s="241"/>
      <c r="Q22" s="241"/>
      <c r="R22" s="241"/>
      <c r="S22" s="241"/>
      <c r="T22" s="241"/>
      <c r="U22" s="241"/>
      <c r="V22" s="241">
        <v>1.63</v>
      </c>
      <c r="W22" s="241">
        <v>1.18</v>
      </c>
      <c r="X22" s="241"/>
      <c r="Y22" s="241"/>
      <c r="Z22" s="241"/>
      <c r="AA22" s="241"/>
      <c r="AB22" s="241"/>
      <c r="AC22" s="241"/>
      <c r="AD22" s="241"/>
      <c r="AE22" s="241">
        <v>39.15</v>
      </c>
      <c r="AF22" s="241">
        <v>39.47</v>
      </c>
      <c r="AG22" s="241"/>
      <c r="AH22" s="241"/>
      <c r="AI22" s="241"/>
      <c r="AJ22" s="241"/>
      <c r="AK22" s="241"/>
      <c r="AL22" s="241"/>
      <c r="AM22" s="241"/>
      <c r="AN22" s="241">
        <v>805.47</v>
      </c>
      <c r="AO22" s="241">
        <v>475.91</v>
      </c>
      <c r="AP22" s="241"/>
      <c r="AQ22" s="241"/>
      <c r="AR22" s="241"/>
      <c r="AS22" s="241"/>
      <c r="AT22" s="241"/>
      <c r="AU22" s="241"/>
      <c r="AV22" s="241"/>
      <c r="AW22" s="241">
        <v>45</v>
      </c>
      <c r="AX22" s="241">
        <v>42111</v>
      </c>
      <c r="AY22" s="241">
        <f t="shared" si="0"/>
        <v>-4</v>
      </c>
      <c r="AZ22" s="241">
        <v>40</v>
      </c>
      <c r="BA22" s="241">
        <v>42237</v>
      </c>
      <c r="BB22" s="241">
        <v>0</v>
      </c>
      <c r="BC22" s="241">
        <v>34</v>
      </c>
      <c r="BD22" s="241">
        <v>42373</v>
      </c>
      <c r="BE22" s="241">
        <v>4</v>
      </c>
      <c r="BF22" s="241">
        <v>30</v>
      </c>
      <c r="BG22" s="241">
        <v>42429</v>
      </c>
      <c r="BH22" s="241">
        <v>6</v>
      </c>
      <c r="BI22" s="241">
        <v>24</v>
      </c>
      <c r="BJ22" s="241">
        <v>42576</v>
      </c>
      <c r="BK22" s="241">
        <v>11</v>
      </c>
      <c r="BL22" s="241">
        <v>9</v>
      </c>
      <c r="BM22" s="241">
        <v>42913</v>
      </c>
      <c r="BN22" s="241">
        <v>22</v>
      </c>
      <c r="BO22" s="241">
        <v>1</v>
      </c>
      <c r="BP22" s="241">
        <v>43297</v>
      </c>
      <c r="BQ22" s="241">
        <v>35</v>
      </c>
      <c r="BR22" s="243">
        <f t="shared" si="1"/>
        <v>4.8571428571428568</v>
      </c>
      <c r="BS22" s="243">
        <f t="shared" si="2"/>
        <v>6.8571428571428568</v>
      </c>
    </row>
    <row r="23" spans="1:71">
      <c r="A23" s="111">
        <v>1441</v>
      </c>
      <c r="B23" s="111" t="s">
        <v>28</v>
      </c>
      <c r="C23" s="241">
        <v>2</v>
      </c>
      <c r="D23" s="241">
        <v>42243</v>
      </c>
      <c r="E23" s="241">
        <v>42269</v>
      </c>
      <c r="F23" s="241"/>
      <c r="G23" s="241"/>
      <c r="H23" s="241"/>
      <c r="I23" s="241"/>
      <c r="J23" s="241"/>
      <c r="K23" s="241"/>
      <c r="L23" s="241"/>
      <c r="M23" s="241">
        <v>1305.1499999999999</v>
      </c>
      <c r="N23" s="241">
        <v>2025.68</v>
      </c>
      <c r="O23" s="241"/>
      <c r="P23" s="241"/>
      <c r="Q23" s="241"/>
      <c r="R23" s="241"/>
      <c r="S23" s="241"/>
      <c r="T23" s="241"/>
      <c r="U23" s="241"/>
      <c r="V23" s="241">
        <v>1.93</v>
      </c>
      <c r="W23" s="241">
        <v>1.93</v>
      </c>
      <c r="X23" s="241"/>
      <c r="Y23" s="241"/>
      <c r="Z23" s="241"/>
      <c r="AA23" s="241"/>
      <c r="AB23" s="241"/>
      <c r="AC23" s="241"/>
      <c r="AD23" s="241"/>
      <c r="AE23" s="241">
        <v>47.92</v>
      </c>
      <c r="AF23" s="241">
        <v>55.47</v>
      </c>
      <c r="AG23" s="241"/>
      <c r="AH23" s="241"/>
      <c r="AI23" s="241"/>
      <c r="AJ23" s="241"/>
      <c r="AK23" s="241"/>
      <c r="AL23" s="241"/>
      <c r="AM23" s="241"/>
      <c r="AN23" s="241">
        <v>1011.93</v>
      </c>
      <c r="AO23" s="241">
        <v>370.56</v>
      </c>
      <c r="AP23" s="241"/>
      <c r="AQ23" s="241"/>
      <c r="AR23" s="241"/>
      <c r="AS23" s="241"/>
      <c r="AT23" s="241"/>
      <c r="AU23" s="241"/>
      <c r="AV23" s="241"/>
      <c r="AW23" s="241">
        <v>42</v>
      </c>
      <c r="AX23" s="241">
        <v>42034</v>
      </c>
      <c r="AY23" s="241">
        <f t="shared" si="0"/>
        <v>-7</v>
      </c>
      <c r="AZ23" s="241">
        <v>39</v>
      </c>
      <c r="BA23" s="241">
        <v>42244</v>
      </c>
      <c r="BB23" s="241">
        <v>0</v>
      </c>
      <c r="BC23" s="241">
        <v>38</v>
      </c>
      <c r="BD23" s="241">
        <v>42359</v>
      </c>
      <c r="BE23" s="241">
        <v>4</v>
      </c>
      <c r="BF23" s="241">
        <v>36</v>
      </c>
      <c r="BG23" s="241">
        <v>42415</v>
      </c>
      <c r="BH23" s="241">
        <v>6</v>
      </c>
      <c r="BI23" s="241">
        <v>32</v>
      </c>
      <c r="BJ23" s="241">
        <v>42590</v>
      </c>
      <c r="BK23" s="241">
        <v>11</v>
      </c>
      <c r="BL23" s="241">
        <v>32</v>
      </c>
      <c r="BM23" s="241">
        <v>42947</v>
      </c>
      <c r="BN23" s="241">
        <v>23</v>
      </c>
      <c r="BO23" s="241">
        <v>20</v>
      </c>
      <c r="BP23" s="241">
        <v>43287</v>
      </c>
      <c r="BQ23" s="241">
        <v>34</v>
      </c>
      <c r="BR23" s="243">
        <f t="shared" si="1"/>
        <v>4.1071428571428568</v>
      </c>
      <c r="BS23" s="243">
        <f t="shared" si="2"/>
        <v>6.1071428571428568</v>
      </c>
    </row>
    <row r="24" spans="1:71">
      <c r="A24" s="111">
        <v>1511</v>
      </c>
      <c r="B24" s="111" t="s">
        <v>34</v>
      </c>
      <c r="C24" s="241">
        <v>2</v>
      </c>
      <c r="D24" s="241">
        <v>42270</v>
      </c>
      <c r="E24" s="241">
        <v>42296</v>
      </c>
      <c r="F24" s="241"/>
      <c r="G24" s="241"/>
      <c r="H24" s="241"/>
      <c r="I24" s="241"/>
      <c r="J24" s="241"/>
      <c r="K24" s="241"/>
      <c r="L24" s="241"/>
      <c r="M24" s="241">
        <v>659.68</v>
      </c>
      <c r="N24" s="241">
        <v>850.71</v>
      </c>
      <c r="O24" s="241"/>
      <c r="P24" s="241"/>
      <c r="Q24" s="241"/>
      <c r="R24" s="241"/>
      <c r="S24" s="241"/>
      <c r="T24" s="241"/>
      <c r="U24" s="241"/>
      <c r="V24" s="241">
        <v>1.78</v>
      </c>
      <c r="W24" s="241">
        <v>2.08</v>
      </c>
      <c r="X24" s="241"/>
      <c r="Y24" s="241"/>
      <c r="Z24" s="241"/>
      <c r="AA24" s="241"/>
      <c r="AB24" s="241"/>
      <c r="AC24" s="241"/>
      <c r="AD24" s="241"/>
      <c r="AE24" s="241">
        <v>32.94</v>
      </c>
      <c r="AF24" s="241">
        <v>35.54</v>
      </c>
      <c r="AG24" s="241"/>
      <c r="AH24" s="241"/>
      <c r="AI24" s="241"/>
      <c r="AJ24" s="241"/>
      <c r="AK24" s="241"/>
      <c r="AL24" s="241"/>
      <c r="AM24" s="241"/>
      <c r="AN24" s="241">
        <v>728.7</v>
      </c>
      <c r="AO24" s="241">
        <v>621.85</v>
      </c>
      <c r="AP24" s="241"/>
      <c r="AQ24" s="241"/>
      <c r="AR24" s="241"/>
      <c r="AS24" s="241"/>
      <c r="AT24" s="241"/>
      <c r="AU24" s="241"/>
      <c r="AV24" s="241"/>
      <c r="AW24" s="241">
        <v>38</v>
      </c>
      <c r="AX24" s="241">
        <v>42129</v>
      </c>
      <c r="AY24" s="241">
        <f t="shared" si="0"/>
        <v>-5</v>
      </c>
      <c r="AZ24" s="241">
        <v>36</v>
      </c>
      <c r="BA24" s="241">
        <v>42271</v>
      </c>
      <c r="BB24" s="241">
        <v>0</v>
      </c>
      <c r="BC24" s="241">
        <v>32</v>
      </c>
      <c r="BD24" s="241">
        <v>42359</v>
      </c>
      <c r="BE24" s="241">
        <v>3</v>
      </c>
      <c r="BF24" s="241">
        <v>32</v>
      </c>
      <c r="BG24" s="241">
        <v>42429</v>
      </c>
      <c r="BH24" s="241">
        <v>5</v>
      </c>
      <c r="BI24" s="241">
        <v>31</v>
      </c>
      <c r="BJ24" s="241">
        <v>42653</v>
      </c>
      <c r="BK24" s="241">
        <v>13</v>
      </c>
      <c r="BL24" s="241">
        <v>23</v>
      </c>
      <c r="BM24" s="241">
        <v>42954</v>
      </c>
      <c r="BN24" s="241">
        <v>22</v>
      </c>
      <c r="BO24" s="241">
        <v>21</v>
      </c>
      <c r="BP24" s="241">
        <v>43283</v>
      </c>
      <c r="BQ24" s="241">
        <v>33</v>
      </c>
      <c r="BR24" s="243">
        <f t="shared" si="1"/>
        <v>3.1428571428571428</v>
      </c>
      <c r="BS24" s="243">
        <f t="shared" si="2"/>
        <v>5.6428571428571432</v>
      </c>
    </row>
    <row r="25" spans="1:71">
      <c r="A25" s="111">
        <v>1153</v>
      </c>
      <c r="B25" s="111" t="s">
        <v>23</v>
      </c>
      <c r="C25" s="241">
        <v>2</v>
      </c>
      <c r="D25" s="241">
        <v>42271</v>
      </c>
      <c r="E25" s="241">
        <v>42297</v>
      </c>
      <c r="F25" s="241"/>
      <c r="G25" s="241"/>
      <c r="H25" s="241"/>
      <c r="I25" s="241"/>
      <c r="J25" s="241"/>
      <c r="K25" s="241"/>
      <c r="L25" s="241"/>
      <c r="M25" s="241">
        <v>580.92999999999995</v>
      </c>
      <c r="N25" s="241">
        <v>1296.33</v>
      </c>
      <c r="O25" s="241"/>
      <c r="P25" s="241"/>
      <c r="Q25" s="241"/>
      <c r="R25" s="241"/>
      <c r="S25" s="241"/>
      <c r="T25" s="241"/>
      <c r="U25" s="241"/>
      <c r="V25" s="241">
        <v>1.33</v>
      </c>
      <c r="W25" s="241">
        <v>2.08</v>
      </c>
      <c r="X25" s="241"/>
      <c r="Y25" s="241"/>
      <c r="Z25" s="241"/>
      <c r="AA25" s="241"/>
      <c r="AB25" s="241"/>
      <c r="AC25" s="241"/>
      <c r="AD25" s="241"/>
      <c r="AE25" s="241">
        <v>37.99</v>
      </c>
      <c r="AF25" s="241">
        <v>63.75</v>
      </c>
      <c r="AG25" s="241"/>
      <c r="AH25" s="241"/>
      <c r="AI25" s="241"/>
      <c r="AJ25" s="241"/>
      <c r="AK25" s="241"/>
      <c r="AL25" s="241"/>
      <c r="AM25" s="241"/>
      <c r="AN25" s="241">
        <v>1018.53</v>
      </c>
      <c r="AO25" s="241">
        <v>695.62</v>
      </c>
      <c r="AP25" s="241"/>
      <c r="AQ25" s="241"/>
      <c r="AR25" s="241"/>
      <c r="AS25" s="241"/>
      <c r="AT25" s="241"/>
      <c r="AU25" s="241"/>
      <c r="AV25" s="241"/>
      <c r="AW25" s="241">
        <v>39</v>
      </c>
      <c r="AX25" s="241">
        <v>41682</v>
      </c>
      <c r="AY25" s="241">
        <f t="shared" si="0"/>
        <v>-19</v>
      </c>
      <c r="AZ25" s="241">
        <v>30</v>
      </c>
      <c r="BA25" s="241">
        <v>42272</v>
      </c>
      <c r="BB25" s="241">
        <v>0</v>
      </c>
      <c r="BC25" s="241">
        <v>30</v>
      </c>
      <c r="BD25" s="241">
        <v>42359</v>
      </c>
      <c r="BE25" s="241">
        <v>3</v>
      </c>
      <c r="BF25" s="241">
        <v>29</v>
      </c>
      <c r="BG25" s="241">
        <v>42457</v>
      </c>
      <c r="BH25" s="241">
        <v>6</v>
      </c>
      <c r="BI25" s="241">
        <v>28</v>
      </c>
      <c r="BJ25" s="241">
        <v>42636</v>
      </c>
      <c r="BK25" s="241">
        <v>12</v>
      </c>
      <c r="BL25" s="241">
        <v>28</v>
      </c>
      <c r="BM25" s="241">
        <v>42972</v>
      </c>
      <c r="BN25" s="241">
        <v>23</v>
      </c>
      <c r="BO25" s="241"/>
      <c r="BP25" s="241"/>
      <c r="BQ25" s="241"/>
      <c r="BR25" s="243">
        <f t="shared" si="1"/>
        <v>3.1071428571428572</v>
      </c>
      <c r="BS25" s="243">
        <f t="shared" si="2"/>
        <v>6.6071428571428568</v>
      </c>
    </row>
    <row r="26" spans="1:71">
      <c r="A26" s="111">
        <v>1517</v>
      </c>
      <c r="B26" s="111" t="s">
        <v>39</v>
      </c>
      <c r="C26" s="241">
        <v>2</v>
      </c>
      <c r="D26" s="241">
        <v>42299</v>
      </c>
      <c r="E26" s="241">
        <v>42325</v>
      </c>
      <c r="F26" s="241"/>
      <c r="G26" s="241"/>
      <c r="H26" s="241"/>
      <c r="I26" s="241"/>
      <c r="J26" s="241"/>
      <c r="K26" s="241"/>
      <c r="L26" s="241"/>
      <c r="M26" s="241">
        <v>1251.32</v>
      </c>
      <c r="N26" s="241">
        <v>3881.36</v>
      </c>
      <c r="O26" s="241"/>
      <c r="P26" s="241"/>
      <c r="Q26" s="241"/>
      <c r="R26" s="241"/>
      <c r="S26" s="241"/>
      <c r="T26" s="241"/>
      <c r="U26" s="241"/>
      <c r="V26" s="241">
        <v>2.38</v>
      </c>
      <c r="W26" s="241">
        <v>5.98</v>
      </c>
      <c r="X26" s="241"/>
      <c r="Y26" s="241"/>
      <c r="Z26" s="241"/>
      <c r="AA26" s="241"/>
      <c r="AB26" s="241"/>
      <c r="AC26" s="241"/>
      <c r="AD26" s="241"/>
      <c r="AE26" s="241">
        <v>59.7</v>
      </c>
      <c r="AF26" s="241">
        <v>105.92</v>
      </c>
      <c r="AG26" s="241"/>
      <c r="AH26" s="241"/>
      <c r="AI26" s="241"/>
      <c r="AJ26" s="241"/>
      <c r="AK26" s="241"/>
      <c r="AL26" s="241"/>
      <c r="AM26" s="241"/>
      <c r="AN26" s="241">
        <v>1111.79</v>
      </c>
      <c r="AO26" s="241">
        <v>979.16</v>
      </c>
      <c r="AP26" s="241"/>
      <c r="AQ26" s="241"/>
      <c r="AR26" s="241"/>
      <c r="AS26" s="241"/>
      <c r="AT26" s="241"/>
      <c r="AU26" s="241"/>
      <c r="AV26" s="241"/>
      <c r="AW26" s="241">
        <v>46</v>
      </c>
      <c r="AX26" s="241">
        <v>42135</v>
      </c>
      <c r="AY26" s="241">
        <f t="shared" si="0"/>
        <v>-5</v>
      </c>
      <c r="AZ26" s="241">
        <v>42</v>
      </c>
      <c r="BA26" s="241">
        <v>42300</v>
      </c>
      <c r="BB26" s="241">
        <v>0</v>
      </c>
      <c r="BC26" s="241">
        <v>33</v>
      </c>
      <c r="BD26" s="241">
        <v>42485</v>
      </c>
      <c r="BE26" s="241">
        <v>6</v>
      </c>
      <c r="BF26" s="241">
        <v>22</v>
      </c>
      <c r="BG26" s="241">
        <v>42660</v>
      </c>
      <c r="BH26" s="241">
        <v>12</v>
      </c>
      <c r="BI26" s="241"/>
      <c r="BJ26" s="241"/>
      <c r="BK26" s="241"/>
      <c r="BL26" s="241"/>
      <c r="BM26" s="241"/>
      <c r="BN26" s="241"/>
      <c r="BO26" s="241"/>
      <c r="BP26" s="241"/>
      <c r="BQ26" s="241"/>
      <c r="BR26" s="243">
        <f t="shared" si="1"/>
        <v>6.6071428571428568</v>
      </c>
      <c r="BS26" s="243">
        <f t="shared" si="2"/>
        <v>12.857142857142858</v>
      </c>
    </row>
    <row r="27" spans="1:71">
      <c r="A27" s="111">
        <v>1356</v>
      </c>
      <c r="B27" s="111" t="s">
        <v>44</v>
      </c>
      <c r="C27" s="241">
        <v>2</v>
      </c>
      <c r="D27" s="241">
        <v>42312</v>
      </c>
      <c r="E27" s="241">
        <v>42338</v>
      </c>
      <c r="F27" s="241"/>
      <c r="G27" s="241"/>
      <c r="H27" s="241"/>
      <c r="I27" s="241"/>
      <c r="J27" s="241"/>
      <c r="K27" s="241"/>
      <c r="L27" s="241"/>
      <c r="M27" s="241">
        <v>788.19999999999993</v>
      </c>
      <c r="N27" s="241">
        <v>1853.18</v>
      </c>
      <c r="O27" s="241"/>
      <c r="P27" s="241"/>
      <c r="Q27" s="241"/>
      <c r="R27" s="241"/>
      <c r="S27" s="241"/>
      <c r="T27" s="241"/>
      <c r="U27" s="241"/>
      <c r="V27" s="241">
        <v>1.33</v>
      </c>
      <c r="W27" s="241">
        <v>2.23</v>
      </c>
      <c r="X27" s="241"/>
      <c r="Y27" s="241"/>
      <c r="Z27" s="241"/>
      <c r="AA27" s="241"/>
      <c r="AB27" s="241"/>
      <c r="AC27" s="241"/>
      <c r="AD27" s="241"/>
      <c r="AE27" s="241">
        <v>38.74</v>
      </c>
      <c r="AF27" s="241">
        <v>66.69</v>
      </c>
      <c r="AG27" s="241"/>
      <c r="AH27" s="241"/>
      <c r="AI27" s="241"/>
      <c r="AJ27" s="241"/>
      <c r="AK27" s="241"/>
      <c r="AL27" s="241"/>
      <c r="AM27" s="241"/>
      <c r="AN27" s="241">
        <v>1155.71</v>
      </c>
      <c r="AO27" s="241">
        <v>544.09</v>
      </c>
      <c r="AP27" s="241"/>
      <c r="AQ27" s="241"/>
      <c r="AR27" s="241"/>
      <c r="AS27" s="241"/>
      <c r="AT27" s="241"/>
      <c r="AU27" s="241"/>
      <c r="AV27" s="241"/>
      <c r="AW27" s="241">
        <v>44</v>
      </c>
      <c r="AX27" s="241">
        <v>41949</v>
      </c>
      <c r="AY27" s="241">
        <f t="shared" si="0"/>
        <v>-12</v>
      </c>
      <c r="AZ27" s="241">
        <v>41</v>
      </c>
      <c r="BA27" s="241">
        <v>42313</v>
      </c>
      <c r="BB27" s="241">
        <v>0</v>
      </c>
      <c r="BC27" s="241">
        <v>35</v>
      </c>
      <c r="BD27" s="241">
        <v>42450</v>
      </c>
      <c r="BE27" s="241">
        <v>5</v>
      </c>
      <c r="BF27" s="241">
        <v>32</v>
      </c>
      <c r="BG27" s="241">
        <v>42478</v>
      </c>
      <c r="BH27" s="241">
        <v>5</v>
      </c>
      <c r="BI27" s="241">
        <v>10</v>
      </c>
      <c r="BJ27" s="241">
        <v>42695</v>
      </c>
      <c r="BK27" s="241">
        <v>13</v>
      </c>
      <c r="BL27" s="241">
        <v>9</v>
      </c>
      <c r="BM27" s="241">
        <v>42947</v>
      </c>
      <c r="BN27" s="241">
        <v>21</v>
      </c>
      <c r="BO27" s="241">
        <v>9</v>
      </c>
      <c r="BP27" s="241">
        <v>43195</v>
      </c>
      <c r="BQ27" s="241">
        <v>29</v>
      </c>
      <c r="BR27" s="243">
        <f t="shared" si="1"/>
        <v>4.8928571428571432</v>
      </c>
      <c r="BS27" s="243">
        <f t="shared" si="2"/>
        <v>5.8928571428571432</v>
      </c>
    </row>
    <row r="28" spans="1:71">
      <c r="A28" s="111">
        <v>1544</v>
      </c>
      <c r="B28" s="111" t="s">
        <v>29</v>
      </c>
      <c r="C28" s="241">
        <v>2</v>
      </c>
      <c r="D28" s="241">
        <v>42333</v>
      </c>
      <c r="E28" s="241">
        <v>42359</v>
      </c>
      <c r="F28" s="241"/>
      <c r="G28" s="241"/>
      <c r="H28" s="241"/>
      <c r="I28" s="241"/>
      <c r="J28" s="241"/>
      <c r="K28" s="241"/>
      <c r="L28" s="241"/>
      <c r="M28" s="241">
        <v>700.91</v>
      </c>
      <c r="N28" s="241">
        <v>1280.3</v>
      </c>
      <c r="O28" s="241"/>
      <c r="P28" s="241"/>
      <c r="Q28" s="241"/>
      <c r="R28" s="241"/>
      <c r="S28" s="241"/>
      <c r="T28" s="241"/>
      <c r="U28" s="241"/>
      <c r="V28" s="241">
        <v>1.03</v>
      </c>
      <c r="W28" s="241">
        <v>1.48</v>
      </c>
      <c r="X28" s="241"/>
      <c r="Y28" s="241"/>
      <c r="Z28" s="241"/>
      <c r="AA28" s="241"/>
      <c r="AB28" s="241"/>
      <c r="AC28" s="241"/>
      <c r="AD28" s="241"/>
      <c r="AE28" s="241">
        <v>28.22</v>
      </c>
      <c r="AF28" s="241">
        <v>39.42</v>
      </c>
      <c r="AG28" s="241"/>
      <c r="AH28" s="241"/>
      <c r="AI28" s="241"/>
      <c r="AJ28" s="241"/>
      <c r="AK28" s="241"/>
      <c r="AL28" s="241"/>
      <c r="AM28" s="241"/>
      <c r="AN28" s="241">
        <v>488.32</v>
      </c>
      <c r="AO28" s="241">
        <v>108.93</v>
      </c>
      <c r="AP28" s="241"/>
      <c r="AQ28" s="241"/>
      <c r="AR28" s="241"/>
      <c r="AS28" s="241"/>
      <c r="AT28" s="241"/>
      <c r="AU28" s="241"/>
      <c r="AV28" s="241"/>
      <c r="AW28" s="241">
        <v>45</v>
      </c>
      <c r="AX28" s="241">
        <v>42177</v>
      </c>
      <c r="AY28" s="241">
        <f t="shared" si="0"/>
        <v>-5</v>
      </c>
      <c r="AZ28" s="241">
        <v>45</v>
      </c>
      <c r="BA28" s="241">
        <v>42334</v>
      </c>
      <c r="BB28" s="241">
        <v>0</v>
      </c>
      <c r="BC28" s="241">
        <v>44</v>
      </c>
      <c r="BD28" s="241">
        <v>42438</v>
      </c>
      <c r="BE28" s="241">
        <v>3</v>
      </c>
      <c r="BF28" s="241">
        <v>44</v>
      </c>
      <c r="BG28" s="241">
        <v>42711</v>
      </c>
      <c r="BH28" s="241">
        <v>12</v>
      </c>
      <c r="BI28" s="241">
        <v>19</v>
      </c>
      <c r="BJ28" s="241">
        <v>43474</v>
      </c>
      <c r="BK28" s="241">
        <v>37</v>
      </c>
      <c r="BL28" s="241"/>
      <c r="BM28" s="241"/>
      <c r="BN28" s="241"/>
      <c r="BO28" s="241"/>
      <c r="BP28" s="241"/>
      <c r="BQ28" s="241"/>
      <c r="BR28" s="243">
        <f t="shared" si="1"/>
        <v>3.7142857142857144</v>
      </c>
      <c r="BS28" s="243">
        <f t="shared" si="2"/>
        <v>13.464285714285714</v>
      </c>
    </row>
    <row r="29" spans="1:71">
      <c r="A29" s="111">
        <v>1552</v>
      </c>
      <c r="B29" s="111" t="s">
        <v>40</v>
      </c>
      <c r="C29" s="241">
        <v>2</v>
      </c>
      <c r="D29" s="241">
        <v>42341</v>
      </c>
      <c r="E29" s="241">
        <v>42367</v>
      </c>
      <c r="F29" s="241"/>
      <c r="G29" s="241"/>
      <c r="H29" s="241"/>
      <c r="I29" s="241"/>
      <c r="J29" s="241"/>
      <c r="K29" s="241"/>
      <c r="L29" s="241"/>
      <c r="M29" s="241">
        <v>765.1</v>
      </c>
      <c r="N29" s="241">
        <v>1138.6199999999999</v>
      </c>
      <c r="O29" s="241"/>
      <c r="P29" s="241"/>
      <c r="Q29" s="241"/>
      <c r="R29" s="241"/>
      <c r="S29" s="241"/>
      <c r="T29" s="241"/>
      <c r="U29" s="241"/>
      <c r="V29" s="241">
        <v>1.63</v>
      </c>
      <c r="W29" s="241">
        <v>2.23</v>
      </c>
      <c r="X29" s="241"/>
      <c r="Y29" s="241"/>
      <c r="Z29" s="241"/>
      <c r="AA29" s="241"/>
      <c r="AB29" s="241"/>
      <c r="AC29" s="241"/>
      <c r="AD29" s="241"/>
      <c r="AE29" s="241">
        <v>37.61</v>
      </c>
      <c r="AF29" s="241">
        <v>42.26</v>
      </c>
      <c r="AG29" s="241"/>
      <c r="AH29" s="241"/>
      <c r="AI29" s="241"/>
      <c r="AJ29" s="241"/>
      <c r="AK29" s="241"/>
      <c r="AL29" s="241"/>
      <c r="AM29" s="241"/>
      <c r="AN29" s="241">
        <v>810.4</v>
      </c>
      <c r="AO29" s="241">
        <v>927.24</v>
      </c>
      <c r="AP29" s="241"/>
      <c r="AQ29" s="241"/>
      <c r="AR29" s="241"/>
      <c r="AS29" s="241"/>
      <c r="AT29" s="241"/>
      <c r="AU29" s="241"/>
      <c r="AV29" s="241"/>
      <c r="AW29" s="241">
        <v>42</v>
      </c>
      <c r="AX29" s="241">
        <v>42187</v>
      </c>
      <c r="AY29" s="241">
        <f t="shared" si="0"/>
        <v>-5</v>
      </c>
      <c r="AZ29" s="241">
        <v>38</v>
      </c>
      <c r="BA29" s="241">
        <v>42342</v>
      </c>
      <c r="BB29" s="241">
        <v>0</v>
      </c>
      <c r="BC29" s="241">
        <v>30</v>
      </c>
      <c r="BD29" s="241">
        <v>42457</v>
      </c>
      <c r="BE29" s="241">
        <v>4</v>
      </c>
      <c r="BF29" s="241">
        <v>28</v>
      </c>
      <c r="BG29" s="241">
        <v>42513</v>
      </c>
      <c r="BH29" s="241">
        <v>6</v>
      </c>
      <c r="BI29" s="241">
        <v>23</v>
      </c>
      <c r="BJ29" s="241">
        <v>42730</v>
      </c>
      <c r="BK29" s="241">
        <v>13</v>
      </c>
      <c r="BL29" s="241">
        <v>18</v>
      </c>
      <c r="BM29" s="241">
        <v>43087</v>
      </c>
      <c r="BN29" s="241">
        <v>24</v>
      </c>
      <c r="BO29" s="241"/>
      <c r="BP29" s="241"/>
      <c r="BQ29" s="241"/>
      <c r="BR29" s="243">
        <f t="shared" si="1"/>
        <v>4.1071428571428568</v>
      </c>
      <c r="BS29" s="243">
        <f t="shared" si="2"/>
        <v>6.1071428571428568</v>
      </c>
    </row>
    <row r="30" spans="1:71">
      <c r="A30" s="111">
        <v>1533</v>
      </c>
      <c r="B30" s="111" t="s">
        <v>38</v>
      </c>
      <c r="C30" s="241">
        <v>2</v>
      </c>
      <c r="D30" s="241">
        <v>42439</v>
      </c>
      <c r="E30" s="241">
        <v>42465</v>
      </c>
      <c r="F30" s="241"/>
      <c r="G30" s="241"/>
      <c r="H30" s="241"/>
      <c r="I30" s="241"/>
      <c r="J30" s="241"/>
      <c r="K30" s="241"/>
      <c r="L30" s="241"/>
      <c r="M30" s="241">
        <v>951.0200000000001</v>
      </c>
      <c r="N30" s="241">
        <v>1959.36</v>
      </c>
      <c r="O30" s="241"/>
      <c r="P30" s="241"/>
      <c r="Q30" s="241"/>
      <c r="R30" s="241"/>
      <c r="S30" s="241"/>
      <c r="T30" s="241"/>
      <c r="U30" s="241"/>
      <c r="V30" s="241">
        <v>1.33</v>
      </c>
      <c r="W30" s="241">
        <v>4.93</v>
      </c>
      <c r="X30" s="241"/>
      <c r="Y30" s="241"/>
      <c r="Z30" s="241"/>
      <c r="AA30" s="241"/>
      <c r="AB30" s="241"/>
      <c r="AC30" s="241"/>
      <c r="AD30" s="241"/>
      <c r="AE30" s="241">
        <v>34.5</v>
      </c>
      <c r="AF30" s="241">
        <v>46.13</v>
      </c>
      <c r="AG30" s="241"/>
      <c r="AH30" s="241"/>
      <c r="AI30" s="241"/>
      <c r="AJ30" s="241"/>
      <c r="AK30" s="241"/>
      <c r="AL30" s="241"/>
      <c r="AM30" s="241"/>
      <c r="AN30" s="241">
        <v>470.5</v>
      </c>
      <c r="AO30" s="241">
        <v>347.96</v>
      </c>
      <c r="AP30" s="241"/>
      <c r="AQ30" s="241"/>
      <c r="AR30" s="241"/>
      <c r="AS30" s="241"/>
      <c r="AT30" s="241"/>
      <c r="AU30" s="241"/>
      <c r="AV30" s="241"/>
      <c r="AW30" s="241">
        <v>47</v>
      </c>
      <c r="AX30" s="241">
        <v>42167</v>
      </c>
      <c r="AY30" s="241">
        <f t="shared" si="0"/>
        <v>-9</v>
      </c>
      <c r="AZ30" s="241">
        <v>42</v>
      </c>
      <c r="BA30" s="241">
        <v>42440</v>
      </c>
      <c r="BB30" s="241">
        <v>0</v>
      </c>
      <c r="BC30" s="241">
        <v>39</v>
      </c>
      <c r="BD30" s="241">
        <v>42548</v>
      </c>
      <c r="BE30" s="241">
        <v>4</v>
      </c>
      <c r="BF30" s="241">
        <v>34</v>
      </c>
      <c r="BG30" s="241">
        <v>42611</v>
      </c>
      <c r="BH30" s="241">
        <v>6</v>
      </c>
      <c r="BI30" s="241">
        <v>28</v>
      </c>
      <c r="BJ30" s="241">
        <v>42786</v>
      </c>
      <c r="BK30" s="241">
        <v>11</v>
      </c>
      <c r="BL30" s="241">
        <v>23</v>
      </c>
      <c r="BM30" s="241">
        <v>43133</v>
      </c>
      <c r="BN30" s="241">
        <v>23</v>
      </c>
      <c r="BO30" s="241">
        <v>21</v>
      </c>
      <c r="BP30" s="241">
        <v>43416</v>
      </c>
      <c r="BQ30" s="241">
        <v>32</v>
      </c>
      <c r="BR30" s="243">
        <f t="shared" si="1"/>
        <v>3.8571428571428572</v>
      </c>
      <c r="BS30" s="243">
        <f t="shared" si="2"/>
        <v>6.1071428571428568</v>
      </c>
    </row>
    <row r="31" spans="1:71">
      <c r="A31" s="111">
        <v>1640</v>
      </c>
      <c r="B31" s="111" t="s">
        <v>51</v>
      </c>
      <c r="C31" s="241">
        <v>2</v>
      </c>
      <c r="D31" s="241">
        <v>42439</v>
      </c>
      <c r="E31" s="241">
        <v>42465</v>
      </c>
      <c r="F31" s="241"/>
      <c r="G31" s="241"/>
      <c r="H31" s="241"/>
      <c r="I31" s="241"/>
      <c r="J31" s="241"/>
      <c r="K31" s="241"/>
      <c r="L31" s="241"/>
      <c r="M31" s="241">
        <v>940.80000000000007</v>
      </c>
      <c r="N31" s="241">
        <v>1370.11</v>
      </c>
      <c r="O31" s="241"/>
      <c r="P31" s="241"/>
      <c r="Q31" s="241"/>
      <c r="R31" s="241"/>
      <c r="S31" s="241"/>
      <c r="T31" s="241"/>
      <c r="U31" s="241"/>
      <c r="V31" s="241">
        <v>1.48</v>
      </c>
      <c r="W31" s="241">
        <v>1.93</v>
      </c>
      <c r="X31" s="241"/>
      <c r="Y31" s="241"/>
      <c r="Z31" s="241"/>
      <c r="AA31" s="241"/>
      <c r="AB31" s="241"/>
      <c r="AC31" s="241"/>
      <c r="AD31" s="241"/>
      <c r="AE31" s="241">
        <v>45.66</v>
      </c>
      <c r="AF31" s="241">
        <v>88.53</v>
      </c>
      <c r="AG31" s="241"/>
      <c r="AH31" s="241"/>
      <c r="AI31" s="241"/>
      <c r="AJ31" s="241"/>
      <c r="AK31" s="241"/>
      <c r="AL31" s="241"/>
      <c r="AM31" s="241"/>
      <c r="AN31" s="241">
        <v>1006.5</v>
      </c>
      <c r="AO31" s="241">
        <v>494.38</v>
      </c>
      <c r="AP31" s="241"/>
      <c r="AQ31" s="241"/>
      <c r="AR31" s="241"/>
      <c r="AS31" s="241"/>
      <c r="AT31" s="241"/>
      <c r="AU31" s="241"/>
      <c r="AV31" s="241"/>
      <c r="AW31" s="241">
        <v>45</v>
      </c>
      <c r="AX31" s="241">
        <v>42293</v>
      </c>
      <c r="AY31" s="241">
        <f t="shared" si="0"/>
        <v>-5</v>
      </c>
      <c r="AZ31" s="241">
        <v>41</v>
      </c>
      <c r="BA31" s="241">
        <v>42440</v>
      </c>
      <c r="BB31" s="241">
        <v>0</v>
      </c>
      <c r="BC31" s="241">
        <v>39</v>
      </c>
      <c r="BD31" s="241">
        <v>42569</v>
      </c>
      <c r="BE31" s="241">
        <v>4</v>
      </c>
      <c r="BF31" s="241"/>
      <c r="BG31" s="241"/>
      <c r="BH31" s="241"/>
      <c r="BI31" s="241">
        <v>24</v>
      </c>
      <c r="BJ31" s="241">
        <v>42821</v>
      </c>
      <c r="BK31" s="241">
        <v>13</v>
      </c>
      <c r="BL31" s="241"/>
      <c r="BM31" s="241"/>
      <c r="BN31" s="241"/>
      <c r="BO31" s="241"/>
      <c r="BP31" s="241"/>
      <c r="BQ31" s="241"/>
      <c r="BR31" s="243">
        <f t="shared" si="1"/>
        <v>4.6071428571428568</v>
      </c>
      <c r="BS31" s="243">
        <f t="shared" si="2"/>
        <v>-1515.7142857142858</v>
      </c>
    </row>
    <row r="32" spans="1:71">
      <c r="A32" s="111">
        <v>1748</v>
      </c>
      <c r="B32" s="111" t="s">
        <v>14</v>
      </c>
      <c r="C32" s="241">
        <v>3</v>
      </c>
      <c r="D32" s="241">
        <v>42488</v>
      </c>
      <c r="E32" s="241">
        <v>42514</v>
      </c>
      <c r="F32" s="241">
        <v>42760</v>
      </c>
      <c r="G32" s="241"/>
      <c r="H32" s="241"/>
      <c r="I32" s="241"/>
      <c r="J32" s="241"/>
      <c r="K32" s="241"/>
      <c r="L32" s="241"/>
      <c r="M32" s="241">
        <v>958.6</v>
      </c>
      <c r="N32" s="241">
        <v>1474</v>
      </c>
      <c r="O32" s="241">
        <v>1500.6999999999998</v>
      </c>
      <c r="P32" s="241"/>
      <c r="Q32" s="241"/>
      <c r="R32" s="241"/>
      <c r="S32" s="241"/>
      <c r="T32" s="241"/>
      <c r="U32" s="241"/>
      <c r="V32" s="241">
        <v>4.6750000000000007</v>
      </c>
      <c r="W32" s="241">
        <v>11.299999999999999</v>
      </c>
      <c r="X32" s="241">
        <v>4.0500000000000007</v>
      </c>
      <c r="Y32" s="241"/>
      <c r="Z32" s="241"/>
      <c r="AA32" s="241"/>
      <c r="AB32" s="241"/>
      <c r="AC32" s="241"/>
      <c r="AD32" s="241"/>
      <c r="AE32" s="241">
        <v>43.15</v>
      </c>
      <c r="AF32" s="241">
        <v>99.05</v>
      </c>
      <c r="AG32" s="241">
        <v>43.55</v>
      </c>
      <c r="AH32" s="241"/>
      <c r="AI32" s="241"/>
      <c r="AJ32" s="241"/>
      <c r="AK32" s="241"/>
      <c r="AL32" s="241"/>
      <c r="AM32" s="241"/>
      <c r="AN32" s="241">
        <v>929.7</v>
      </c>
      <c r="AO32" s="241">
        <v>717.63</v>
      </c>
      <c r="AP32" s="241">
        <v>883.77</v>
      </c>
      <c r="AQ32" s="241"/>
      <c r="AR32" s="241"/>
      <c r="AS32" s="241"/>
      <c r="AT32" s="241"/>
      <c r="AU32" s="241"/>
      <c r="AV32" s="241"/>
      <c r="AW32" s="241">
        <v>37</v>
      </c>
      <c r="AX32" s="241">
        <v>42459</v>
      </c>
      <c r="AY32" s="241">
        <f t="shared" si="0"/>
        <v>-1</v>
      </c>
      <c r="AZ32" s="241">
        <v>36</v>
      </c>
      <c r="BA32" s="241">
        <v>42488</v>
      </c>
      <c r="BB32" s="241">
        <v>0</v>
      </c>
      <c r="BC32" s="241">
        <v>36</v>
      </c>
      <c r="BD32" s="241">
        <v>42604</v>
      </c>
      <c r="BE32" s="241">
        <v>4</v>
      </c>
      <c r="BF32" s="241">
        <v>34</v>
      </c>
      <c r="BG32" s="241">
        <v>42733</v>
      </c>
      <c r="BH32" s="241">
        <v>8</v>
      </c>
      <c r="BI32" s="241"/>
      <c r="BJ32" s="241"/>
      <c r="BK32" s="241"/>
      <c r="BL32" s="241"/>
      <c r="BM32" s="241"/>
      <c r="BN32" s="241"/>
      <c r="BO32" s="241"/>
      <c r="BP32" s="241"/>
      <c r="BQ32" s="241"/>
      <c r="BR32" s="243">
        <f t="shared" si="1"/>
        <v>4.1428571428571432</v>
      </c>
      <c r="BS32" s="243">
        <f t="shared" si="2"/>
        <v>8.75</v>
      </c>
    </row>
    <row r="33" spans="1:71">
      <c r="A33" s="111">
        <v>1701</v>
      </c>
      <c r="B33" s="111" t="s">
        <v>4</v>
      </c>
      <c r="C33" s="241">
        <v>4</v>
      </c>
      <c r="D33" s="241">
        <v>42523</v>
      </c>
      <c r="E33" s="241">
        <v>42549</v>
      </c>
      <c r="F33" s="241">
        <v>42874</v>
      </c>
      <c r="G33" s="241">
        <v>42900</v>
      </c>
      <c r="H33" s="241"/>
      <c r="I33" s="241"/>
      <c r="J33" s="241"/>
      <c r="K33" s="241"/>
      <c r="L33" s="241"/>
      <c r="M33" s="241">
        <v>883.19999999999993</v>
      </c>
      <c r="N33" s="241">
        <v>462.2</v>
      </c>
      <c r="O33" s="241">
        <v>797.09999999999991</v>
      </c>
      <c r="P33" s="241">
        <v>1560.5</v>
      </c>
      <c r="Q33" s="241"/>
      <c r="R33" s="241"/>
      <c r="S33" s="241"/>
      <c r="T33" s="241"/>
      <c r="U33" s="241"/>
      <c r="V33" s="241">
        <v>1.34</v>
      </c>
      <c r="W33" s="241">
        <v>0.62</v>
      </c>
      <c r="X33" s="241">
        <v>1.04</v>
      </c>
      <c r="Y33" s="241">
        <v>1.83</v>
      </c>
      <c r="Z33" s="241"/>
      <c r="AA33" s="241"/>
      <c r="AB33" s="241"/>
      <c r="AC33" s="241"/>
      <c r="AD33" s="241"/>
      <c r="AE33" s="241">
        <v>34.72</v>
      </c>
      <c r="AF33" s="241">
        <v>25.79</v>
      </c>
      <c r="AG33" s="241">
        <v>41.68</v>
      </c>
      <c r="AH33" s="241">
        <v>25.08</v>
      </c>
      <c r="AI33" s="241"/>
      <c r="AJ33" s="241"/>
      <c r="AK33" s="241"/>
      <c r="AL33" s="241"/>
      <c r="AM33" s="241"/>
      <c r="AN33" s="241">
        <v>816.68400000000008</v>
      </c>
      <c r="AO33" s="241">
        <v>734.55599999999993</v>
      </c>
      <c r="AP33" s="241">
        <v>1357.3680000000002</v>
      </c>
      <c r="AQ33" s="241">
        <v>707.00399999999991</v>
      </c>
      <c r="AR33" s="241"/>
      <c r="AS33" s="241"/>
      <c r="AT33" s="241"/>
      <c r="AU33" s="241"/>
      <c r="AV33" s="241"/>
      <c r="AW33" s="241">
        <v>46</v>
      </c>
      <c r="AX33" s="241">
        <v>42384</v>
      </c>
      <c r="AY33" s="241">
        <f t="shared" si="0"/>
        <v>-5</v>
      </c>
      <c r="AZ33" s="241">
        <v>41</v>
      </c>
      <c r="BA33" s="241">
        <v>42524</v>
      </c>
      <c r="BB33" s="241">
        <v>0</v>
      </c>
      <c r="BC33" s="241">
        <v>40</v>
      </c>
      <c r="BD33" s="241">
        <v>42639</v>
      </c>
      <c r="BE33" s="241">
        <v>4</v>
      </c>
      <c r="BF33" s="241">
        <v>40</v>
      </c>
      <c r="BG33" s="241">
        <v>42695</v>
      </c>
      <c r="BH33" s="241">
        <v>6</v>
      </c>
      <c r="BI33" s="241">
        <v>40</v>
      </c>
      <c r="BJ33" s="241">
        <v>42769</v>
      </c>
      <c r="BK33" s="241">
        <f>ROUND((BJ33-BA33)/30.5,0.5)</f>
        <v>8</v>
      </c>
      <c r="BL33" s="241">
        <v>40</v>
      </c>
      <c r="BM33" s="241">
        <v>42867</v>
      </c>
      <c r="BN33" s="241">
        <f>ROUND((BM33-BA33)/30.5,0.5)</f>
        <v>11</v>
      </c>
      <c r="BO33" s="241">
        <v>39</v>
      </c>
      <c r="BP33" s="241">
        <v>42936</v>
      </c>
      <c r="BQ33" s="241">
        <f>ROUND((BP33-BA33)/30.5,0.5)</f>
        <v>14</v>
      </c>
      <c r="BR33" s="243">
        <f t="shared" si="1"/>
        <v>4.1071428571428568</v>
      </c>
      <c r="BS33" s="243">
        <f t="shared" si="2"/>
        <v>6.1071428571428568</v>
      </c>
    </row>
    <row r="34" spans="1:71">
      <c r="A34" s="111">
        <v>1788</v>
      </c>
      <c r="B34" s="111" t="s">
        <v>74</v>
      </c>
      <c r="C34" s="241">
        <v>2</v>
      </c>
      <c r="D34" s="241">
        <v>42608</v>
      </c>
      <c r="E34" s="241">
        <v>42634</v>
      </c>
      <c r="F34" s="241"/>
      <c r="G34" s="241"/>
      <c r="H34" s="241"/>
      <c r="I34" s="241"/>
      <c r="J34" s="241"/>
      <c r="K34" s="241"/>
      <c r="L34" s="241"/>
      <c r="M34" s="241">
        <v>1203.1999999999998</v>
      </c>
      <c r="N34" s="241">
        <v>1592.1000000000001</v>
      </c>
      <c r="O34" s="241"/>
      <c r="P34" s="241"/>
      <c r="Q34" s="241"/>
      <c r="R34" s="241"/>
      <c r="S34" s="241"/>
      <c r="T34" s="241"/>
      <c r="U34" s="241"/>
      <c r="V34" s="241">
        <v>1.18</v>
      </c>
      <c r="W34" s="241">
        <v>1.18</v>
      </c>
      <c r="X34" s="241"/>
      <c r="Y34" s="241"/>
      <c r="Z34" s="241"/>
      <c r="AA34" s="241"/>
      <c r="AB34" s="241"/>
      <c r="AC34" s="241"/>
      <c r="AD34" s="241"/>
      <c r="AE34" s="241">
        <v>41.9</v>
      </c>
      <c r="AF34" s="241">
        <v>32.58</v>
      </c>
      <c r="AG34" s="241"/>
      <c r="AH34" s="241"/>
      <c r="AI34" s="241"/>
      <c r="AJ34" s="241"/>
      <c r="AK34" s="241"/>
      <c r="AL34" s="241"/>
      <c r="AM34" s="241"/>
      <c r="AN34" s="241">
        <v>668.78</v>
      </c>
      <c r="AO34" s="241">
        <v>715.1</v>
      </c>
      <c r="AP34" s="241"/>
      <c r="AQ34" s="241"/>
      <c r="AR34" s="241"/>
      <c r="AS34" s="241"/>
      <c r="AT34" s="241"/>
      <c r="AU34" s="241"/>
      <c r="AV34" s="241"/>
      <c r="AW34" s="241">
        <v>34</v>
      </c>
      <c r="AX34" s="241">
        <v>42523</v>
      </c>
      <c r="AY34" s="241">
        <f t="shared" ref="AY34:AY65" si="3">ROUND((AX34-D34)/30.5,0)</f>
        <v>-3</v>
      </c>
      <c r="AZ34" s="241">
        <v>34</v>
      </c>
      <c r="BA34" s="241">
        <v>42608</v>
      </c>
      <c r="BB34" s="241">
        <v>0</v>
      </c>
      <c r="BC34" s="241"/>
      <c r="BD34" s="241"/>
      <c r="BE34" s="241"/>
      <c r="BF34" s="241"/>
      <c r="BG34" s="241"/>
      <c r="BH34" s="241"/>
      <c r="BI34" s="241"/>
      <c r="BJ34" s="241"/>
      <c r="BK34" s="241"/>
      <c r="BL34" s="241"/>
      <c r="BM34" s="241"/>
      <c r="BN34" s="241"/>
      <c r="BO34" s="241"/>
      <c r="BP34" s="241"/>
      <c r="BQ34" s="241"/>
      <c r="BR34" s="243">
        <f t="shared" si="1"/>
        <v>-1521.7142857142858</v>
      </c>
      <c r="BS34" s="243">
        <f t="shared" si="2"/>
        <v>-1521.7142857142858</v>
      </c>
    </row>
    <row r="35" spans="1:71">
      <c r="A35" s="111">
        <v>1698</v>
      </c>
      <c r="B35" s="111" t="s">
        <v>26</v>
      </c>
      <c r="C35" s="241">
        <v>2</v>
      </c>
      <c r="D35" s="241">
        <v>42662</v>
      </c>
      <c r="E35" s="241">
        <v>42688</v>
      </c>
      <c r="F35" s="241"/>
      <c r="G35" s="241"/>
      <c r="H35" s="241"/>
      <c r="I35" s="241"/>
      <c r="J35" s="241"/>
      <c r="K35" s="241"/>
      <c r="L35" s="241"/>
      <c r="M35" s="241">
        <v>867.30000000000007</v>
      </c>
      <c r="N35" s="241">
        <v>1490.1599999999999</v>
      </c>
      <c r="O35" s="241"/>
      <c r="P35" s="241"/>
      <c r="Q35" s="241"/>
      <c r="R35" s="241"/>
      <c r="S35" s="241"/>
      <c r="T35" s="241"/>
      <c r="U35" s="241"/>
      <c r="V35" s="241">
        <v>1.18</v>
      </c>
      <c r="W35" s="241">
        <v>1.63</v>
      </c>
      <c r="X35" s="241"/>
      <c r="Y35" s="241"/>
      <c r="Z35" s="241"/>
      <c r="AA35" s="241"/>
      <c r="AB35" s="241"/>
      <c r="AC35" s="241"/>
      <c r="AD35" s="241"/>
      <c r="AE35" s="241">
        <v>34.53</v>
      </c>
      <c r="AF35" s="241">
        <v>59.8</v>
      </c>
      <c r="AG35" s="241"/>
      <c r="AH35" s="241"/>
      <c r="AI35" s="241"/>
      <c r="AJ35" s="241"/>
      <c r="AK35" s="241"/>
      <c r="AL35" s="241"/>
      <c r="AM35" s="241"/>
      <c r="AN35" s="241">
        <v>848.94</v>
      </c>
      <c r="AO35" s="241">
        <v>819.08</v>
      </c>
      <c r="AP35" s="241"/>
      <c r="AQ35" s="241"/>
      <c r="AR35" s="241"/>
      <c r="AS35" s="241"/>
      <c r="AT35" s="241"/>
      <c r="AU35" s="241"/>
      <c r="AV35" s="241"/>
      <c r="AW35" s="241">
        <v>42</v>
      </c>
      <c r="AX35" s="241">
        <v>42380</v>
      </c>
      <c r="AY35" s="241">
        <f t="shared" si="3"/>
        <v>-9</v>
      </c>
      <c r="AZ35" s="241">
        <v>39</v>
      </c>
      <c r="BA35" s="241">
        <v>42663</v>
      </c>
      <c r="BB35" s="241">
        <v>0</v>
      </c>
      <c r="BC35" s="241">
        <v>37</v>
      </c>
      <c r="BD35" s="241">
        <v>42779</v>
      </c>
      <c r="BE35" s="241">
        <v>4</v>
      </c>
      <c r="BF35" s="241">
        <v>37</v>
      </c>
      <c r="BG35" s="241">
        <v>42842</v>
      </c>
      <c r="BH35" s="241">
        <v>6</v>
      </c>
      <c r="BI35" s="241">
        <v>30</v>
      </c>
      <c r="BJ35" s="241">
        <v>43063</v>
      </c>
      <c r="BK35" s="241">
        <v>13</v>
      </c>
      <c r="BL35" s="241">
        <v>25</v>
      </c>
      <c r="BM35" s="241">
        <v>43385</v>
      </c>
      <c r="BN35" s="241">
        <v>24</v>
      </c>
      <c r="BO35" s="241">
        <v>23</v>
      </c>
      <c r="BP35" s="241">
        <v>43700</v>
      </c>
      <c r="BQ35" s="241">
        <v>34</v>
      </c>
      <c r="BR35" s="243">
        <f t="shared" si="1"/>
        <v>4.1428571428571432</v>
      </c>
      <c r="BS35" s="243">
        <f t="shared" si="2"/>
        <v>6.3928571428571432</v>
      </c>
    </row>
    <row r="36" spans="1:71">
      <c r="A36" s="111">
        <v>1750</v>
      </c>
      <c r="B36" s="111" t="s">
        <v>32</v>
      </c>
      <c r="C36" s="241">
        <v>2</v>
      </c>
      <c r="D36" s="241">
        <v>42691</v>
      </c>
      <c r="E36" s="241">
        <v>42717</v>
      </c>
      <c r="F36" s="241"/>
      <c r="G36" s="241"/>
      <c r="H36" s="241"/>
      <c r="I36" s="241"/>
      <c r="J36" s="241"/>
      <c r="K36" s="241"/>
      <c r="L36" s="241"/>
      <c r="M36" s="241">
        <v>2138.5</v>
      </c>
      <c r="N36" s="241">
        <v>1617.77</v>
      </c>
      <c r="O36" s="241"/>
      <c r="P36" s="241"/>
      <c r="Q36" s="241"/>
      <c r="R36" s="241"/>
      <c r="S36" s="241"/>
      <c r="T36" s="241"/>
      <c r="U36" s="241"/>
      <c r="V36" s="241">
        <v>3.12</v>
      </c>
      <c r="W36" s="241">
        <v>1.63</v>
      </c>
      <c r="X36" s="241"/>
      <c r="Y36" s="241"/>
      <c r="Z36" s="241"/>
      <c r="AA36" s="241"/>
      <c r="AB36" s="241"/>
      <c r="AC36" s="241"/>
      <c r="AD36" s="241"/>
      <c r="AE36" s="241">
        <v>59.12</v>
      </c>
      <c r="AF36" s="241">
        <v>52.79</v>
      </c>
      <c r="AG36" s="241"/>
      <c r="AH36" s="241"/>
      <c r="AI36" s="241"/>
      <c r="AJ36" s="241"/>
      <c r="AK36" s="241"/>
      <c r="AL36" s="241"/>
      <c r="AM36" s="241"/>
      <c r="AN36" s="241">
        <v>1296.94</v>
      </c>
      <c r="AO36" s="241">
        <v>801.69</v>
      </c>
      <c r="AP36" s="241"/>
      <c r="AQ36" s="241"/>
      <c r="AR36" s="241"/>
      <c r="AS36" s="241"/>
      <c r="AT36" s="241"/>
      <c r="AU36" s="241"/>
      <c r="AV36" s="241"/>
      <c r="AW36" s="241">
        <v>44</v>
      </c>
      <c r="AX36" s="241">
        <v>42454</v>
      </c>
      <c r="AY36" s="241">
        <f t="shared" si="3"/>
        <v>-8</v>
      </c>
      <c r="AZ36" s="241">
        <v>35</v>
      </c>
      <c r="BA36" s="241">
        <v>42689</v>
      </c>
      <c r="BB36" s="241">
        <v>0</v>
      </c>
      <c r="BC36" s="241">
        <v>29</v>
      </c>
      <c r="BD36" s="241">
        <v>42828</v>
      </c>
      <c r="BE36" s="241">
        <v>4</v>
      </c>
      <c r="BF36" s="241">
        <v>27</v>
      </c>
      <c r="BG36" s="241">
        <v>42863</v>
      </c>
      <c r="BH36" s="241">
        <v>6</v>
      </c>
      <c r="BI36" s="241">
        <v>14</v>
      </c>
      <c r="BJ36" s="241">
        <v>42989</v>
      </c>
      <c r="BK36" s="241">
        <v>10</v>
      </c>
      <c r="BL36" s="241">
        <v>5</v>
      </c>
      <c r="BM36" s="241">
        <v>43395</v>
      </c>
      <c r="BN36" s="241">
        <v>23</v>
      </c>
      <c r="BO36" s="241">
        <v>4</v>
      </c>
      <c r="BP36" s="241">
        <v>43752</v>
      </c>
      <c r="BQ36" s="241">
        <v>35</v>
      </c>
      <c r="BR36" s="243">
        <f t="shared" si="1"/>
        <v>4.9642857142857144</v>
      </c>
      <c r="BS36" s="243">
        <f t="shared" si="2"/>
        <v>6.2142857142857144</v>
      </c>
    </row>
    <row r="37" spans="1:71">
      <c r="A37" s="111">
        <v>1867</v>
      </c>
      <c r="B37" s="111" t="s">
        <v>50</v>
      </c>
      <c r="C37" s="241">
        <v>2</v>
      </c>
      <c r="D37" s="241">
        <v>42699</v>
      </c>
      <c r="E37" s="241">
        <v>42725</v>
      </c>
      <c r="F37" s="241"/>
      <c r="G37" s="241"/>
      <c r="H37" s="241"/>
      <c r="I37" s="241"/>
      <c r="J37" s="241"/>
      <c r="K37" s="241"/>
      <c r="L37" s="241"/>
      <c r="M37" s="241">
        <v>1313.7</v>
      </c>
      <c r="N37" s="241">
        <v>2930.2999999999997</v>
      </c>
      <c r="O37" s="241"/>
      <c r="P37" s="241"/>
      <c r="Q37" s="241"/>
      <c r="R37" s="241"/>
      <c r="S37" s="241"/>
      <c r="T37" s="241"/>
      <c r="U37" s="241"/>
      <c r="V37" s="241">
        <v>2.1</v>
      </c>
      <c r="W37" s="241">
        <v>4.2699999999999996</v>
      </c>
      <c r="X37" s="241"/>
      <c r="Y37" s="241"/>
      <c r="Z37" s="241"/>
      <c r="AA37" s="241"/>
      <c r="AB37" s="241"/>
      <c r="AC37" s="241"/>
      <c r="AD37" s="241"/>
      <c r="AE37" s="241">
        <v>61.12</v>
      </c>
      <c r="AF37" s="241">
        <v>71.61</v>
      </c>
      <c r="AG37" s="241"/>
      <c r="AH37" s="241"/>
      <c r="AI37" s="241"/>
      <c r="AJ37" s="241"/>
      <c r="AK37" s="241"/>
      <c r="AL37" s="241"/>
      <c r="AM37" s="241"/>
      <c r="AN37" s="241">
        <v>2174.75</v>
      </c>
      <c r="AO37" s="241">
        <v>784.89</v>
      </c>
      <c r="AP37" s="241"/>
      <c r="AQ37" s="241"/>
      <c r="AR37" s="241"/>
      <c r="AS37" s="241"/>
      <c r="AT37" s="241"/>
      <c r="AU37" s="241"/>
      <c r="AV37" s="241"/>
      <c r="AW37" s="241">
        <v>41</v>
      </c>
      <c r="AX37" s="241">
        <v>42663</v>
      </c>
      <c r="AY37" s="241">
        <f t="shared" si="3"/>
        <v>-1</v>
      </c>
      <c r="AZ37" s="241">
        <v>35</v>
      </c>
      <c r="BA37" s="241">
        <v>42699</v>
      </c>
      <c r="BB37" s="241">
        <v>0</v>
      </c>
      <c r="BC37" s="241">
        <v>32</v>
      </c>
      <c r="BD37" s="241">
        <v>42720</v>
      </c>
      <c r="BE37" s="241">
        <v>1</v>
      </c>
      <c r="BF37" s="241"/>
      <c r="BG37" s="241"/>
      <c r="BH37" s="241"/>
      <c r="BI37" s="241"/>
      <c r="BJ37" s="241"/>
      <c r="BK37" s="241"/>
      <c r="BL37" s="241"/>
      <c r="BM37" s="241"/>
      <c r="BN37" s="241"/>
      <c r="BO37" s="241"/>
      <c r="BP37" s="241"/>
      <c r="BQ37" s="241"/>
      <c r="BR37" s="243">
        <f t="shared" si="1"/>
        <v>0.75</v>
      </c>
      <c r="BS37" s="243">
        <f t="shared" si="2"/>
        <v>-1524.9642857142858</v>
      </c>
    </row>
    <row r="38" spans="1:71">
      <c r="A38" s="111">
        <v>1800</v>
      </c>
      <c r="B38" s="111" t="s">
        <v>36</v>
      </c>
      <c r="C38" s="241">
        <v>2</v>
      </c>
      <c r="D38" s="241">
        <v>42746</v>
      </c>
      <c r="E38" s="241">
        <v>42772</v>
      </c>
      <c r="F38" s="241"/>
      <c r="G38" s="241"/>
      <c r="H38" s="241"/>
      <c r="I38" s="241"/>
      <c r="J38" s="241"/>
      <c r="K38" s="241"/>
      <c r="L38" s="241"/>
      <c r="M38" s="241">
        <v>1030.8900000000001</v>
      </c>
      <c r="N38" s="241">
        <v>1928.01</v>
      </c>
      <c r="O38" s="241"/>
      <c r="P38" s="241"/>
      <c r="Q38" s="241"/>
      <c r="R38" s="241"/>
      <c r="S38" s="241"/>
      <c r="T38" s="241"/>
      <c r="U38" s="241"/>
      <c r="V38" s="241">
        <v>1.48</v>
      </c>
      <c r="W38" s="241">
        <v>8.09</v>
      </c>
      <c r="X38" s="241"/>
      <c r="Y38" s="241"/>
      <c r="Z38" s="241"/>
      <c r="AA38" s="241"/>
      <c r="AB38" s="241"/>
      <c r="AC38" s="241"/>
      <c r="AD38" s="241"/>
      <c r="AE38" s="241">
        <v>60.31</v>
      </c>
      <c r="AF38" s="241">
        <v>60.31</v>
      </c>
      <c r="AG38" s="241"/>
      <c r="AH38" s="241"/>
      <c r="AI38" s="241"/>
      <c r="AJ38" s="241"/>
      <c r="AK38" s="241"/>
      <c r="AL38" s="241"/>
      <c r="AM38" s="241"/>
      <c r="AN38" s="241">
        <v>1330.16</v>
      </c>
      <c r="AO38" s="241">
        <v>208.69</v>
      </c>
      <c r="AP38" s="241"/>
      <c r="AQ38" s="241"/>
      <c r="AR38" s="241"/>
      <c r="AS38" s="241"/>
      <c r="AT38" s="241"/>
      <c r="AU38" s="241"/>
      <c r="AV38" s="241"/>
      <c r="AW38" s="241">
        <v>46</v>
      </c>
      <c r="AX38" s="241">
        <v>42552</v>
      </c>
      <c r="AY38" s="241">
        <f t="shared" si="3"/>
        <v>-6</v>
      </c>
      <c r="AZ38" s="241">
        <v>41</v>
      </c>
      <c r="BA38" s="241">
        <v>42747</v>
      </c>
      <c r="BB38" s="241">
        <v>0</v>
      </c>
      <c r="BC38" s="241">
        <v>37</v>
      </c>
      <c r="BD38" s="241">
        <v>42863</v>
      </c>
      <c r="BE38" s="241">
        <v>4</v>
      </c>
      <c r="BF38" s="241">
        <v>33</v>
      </c>
      <c r="BG38" s="241">
        <v>42933</v>
      </c>
      <c r="BH38" s="241">
        <v>6</v>
      </c>
      <c r="BI38" s="241">
        <v>5</v>
      </c>
      <c r="BJ38" s="241">
        <v>43360</v>
      </c>
      <c r="BK38" s="241">
        <v>20</v>
      </c>
      <c r="BL38" s="241">
        <v>3</v>
      </c>
      <c r="BM38" s="241">
        <v>43451</v>
      </c>
      <c r="BN38" s="241">
        <v>23</v>
      </c>
      <c r="BO38" s="241"/>
      <c r="BP38" s="241"/>
      <c r="BQ38" s="241"/>
      <c r="BR38" s="243">
        <f t="shared" si="1"/>
        <v>4.1428571428571432</v>
      </c>
      <c r="BS38" s="243">
        <f t="shared" si="2"/>
        <v>6.6428571428571432</v>
      </c>
    </row>
    <row r="39" spans="1:71">
      <c r="A39" s="111">
        <v>1870</v>
      </c>
      <c r="B39" s="111" t="s">
        <v>43</v>
      </c>
      <c r="C39" s="241">
        <v>2</v>
      </c>
      <c r="D39" s="241">
        <v>42753</v>
      </c>
      <c r="E39" s="241">
        <v>42779</v>
      </c>
      <c r="F39" s="241"/>
      <c r="G39" s="241"/>
      <c r="H39" s="241"/>
      <c r="I39" s="241"/>
      <c r="J39" s="241"/>
      <c r="K39" s="241"/>
      <c r="L39" s="241"/>
      <c r="M39" s="241">
        <v>819.5</v>
      </c>
      <c r="N39" s="241">
        <v>1497.1000000000001</v>
      </c>
      <c r="O39" s="241"/>
      <c r="P39" s="241"/>
      <c r="Q39" s="241"/>
      <c r="R39" s="241"/>
      <c r="S39" s="241"/>
      <c r="T39" s="241"/>
      <c r="U39" s="241"/>
      <c r="V39" s="241">
        <v>1.44</v>
      </c>
      <c r="W39" s="241">
        <v>2.31</v>
      </c>
      <c r="X39" s="241"/>
      <c r="Y39" s="241"/>
      <c r="Z39" s="241"/>
      <c r="AA39" s="241"/>
      <c r="AB39" s="241"/>
      <c r="AC39" s="241"/>
      <c r="AD39" s="241"/>
      <c r="AE39" s="241">
        <v>35.380000000000003</v>
      </c>
      <c r="AF39" s="241">
        <v>64.61</v>
      </c>
      <c r="AG39" s="241"/>
      <c r="AH39" s="241"/>
      <c r="AI39" s="241"/>
      <c r="AJ39" s="241"/>
      <c r="AK39" s="241"/>
      <c r="AL39" s="241"/>
      <c r="AM39" s="241"/>
      <c r="AN39" s="241">
        <v>767.31</v>
      </c>
      <c r="AO39" s="241">
        <v>629.1</v>
      </c>
      <c r="AP39" s="241"/>
      <c r="AQ39" s="241"/>
      <c r="AR39" s="241"/>
      <c r="AS39" s="241"/>
      <c r="AT39" s="241"/>
      <c r="AU39" s="241"/>
      <c r="AV39" s="241"/>
      <c r="AW39" s="241">
        <v>43</v>
      </c>
      <c r="AX39" s="241">
        <v>42677</v>
      </c>
      <c r="AY39" s="241">
        <f t="shared" si="3"/>
        <v>-2</v>
      </c>
      <c r="AZ39" s="241">
        <v>43</v>
      </c>
      <c r="BA39" s="241">
        <v>42754</v>
      </c>
      <c r="BB39" s="241">
        <v>0</v>
      </c>
      <c r="BC39" s="241">
        <v>41</v>
      </c>
      <c r="BD39" s="241">
        <v>42870</v>
      </c>
      <c r="BE39" s="241">
        <v>4</v>
      </c>
      <c r="BF39" s="241">
        <v>35</v>
      </c>
      <c r="BG39" s="241">
        <v>42926</v>
      </c>
      <c r="BH39" s="241">
        <v>6</v>
      </c>
      <c r="BI39" s="241">
        <v>24</v>
      </c>
      <c r="BJ39" s="241">
        <v>43143</v>
      </c>
      <c r="BK39" s="241">
        <v>13</v>
      </c>
      <c r="BL39" s="241">
        <v>13</v>
      </c>
      <c r="BM39" s="241">
        <v>43530</v>
      </c>
      <c r="BN39" s="241">
        <v>25</v>
      </c>
      <c r="BO39" s="241"/>
      <c r="BP39" s="241"/>
      <c r="BQ39" s="241"/>
      <c r="BR39" s="243">
        <f t="shared" si="1"/>
        <v>4.1428571428571432</v>
      </c>
      <c r="BS39" s="243">
        <f t="shared" si="2"/>
        <v>6.1428571428571432</v>
      </c>
    </row>
    <row r="40" spans="1:71">
      <c r="A40" s="111">
        <v>1918</v>
      </c>
      <c r="B40" s="111" t="s">
        <v>73</v>
      </c>
      <c r="C40" s="241">
        <v>2</v>
      </c>
      <c r="D40" s="241">
        <v>42782</v>
      </c>
      <c r="E40" s="241">
        <v>42808</v>
      </c>
      <c r="F40" s="241"/>
      <c r="G40" s="241"/>
      <c r="H40" s="241"/>
      <c r="I40" s="241"/>
      <c r="J40" s="241"/>
      <c r="K40" s="241"/>
      <c r="L40" s="241"/>
      <c r="M40" s="241">
        <v>847</v>
      </c>
      <c r="N40" s="241">
        <v>1736.3999999999999</v>
      </c>
      <c r="O40" s="241"/>
      <c r="P40" s="241"/>
      <c r="Q40" s="241"/>
      <c r="R40" s="241"/>
      <c r="S40" s="241"/>
      <c r="T40" s="241"/>
      <c r="U40" s="241"/>
      <c r="V40" s="241">
        <v>1.74</v>
      </c>
      <c r="W40" s="241">
        <v>11.32</v>
      </c>
      <c r="X40" s="241"/>
      <c r="Y40" s="241"/>
      <c r="Z40" s="241"/>
      <c r="AA40" s="241"/>
      <c r="AB40" s="241"/>
      <c r="AC40" s="241"/>
      <c r="AD40" s="241"/>
      <c r="AE40" s="241">
        <v>34.520000000000003</v>
      </c>
      <c r="AF40" s="241">
        <v>80.05</v>
      </c>
      <c r="AG40" s="241"/>
      <c r="AH40" s="241"/>
      <c r="AI40" s="241"/>
      <c r="AJ40" s="241"/>
      <c r="AK40" s="241"/>
      <c r="AL40" s="241"/>
      <c r="AM40" s="241"/>
      <c r="AN40" s="241">
        <v>882.73</v>
      </c>
      <c r="AO40" s="241">
        <v>497.72</v>
      </c>
      <c r="AP40" s="241"/>
      <c r="AQ40" s="241"/>
      <c r="AR40" s="241"/>
      <c r="AS40" s="241"/>
      <c r="AT40" s="241"/>
      <c r="AU40" s="241"/>
      <c r="AV40" s="241"/>
      <c r="AW40" s="241">
        <v>42</v>
      </c>
      <c r="AX40" s="241">
        <v>42752</v>
      </c>
      <c r="AY40" s="241">
        <f t="shared" si="3"/>
        <v>-1</v>
      </c>
      <c r="AZ40" s="241">
        <v>41</v>
      </c>
      <c r="BA40" s="241">
        <v>42782</v>
      </c>
      <c r="BB40" s="241">
        <v>0</v>
      </c>
      <c r="BC40" s="241"/>
      <c r="BD40" s="241"/>
      <c r="BE40" s="241"/>
      <c r="BF40" s="241"/>
      <c r="BG40" s="241"/>
      <c r="BH40" s="241"/>
      <c r="BI40" s="241"/>
      <c r="BJ40" s="241"/>
      <c r="BK40" s="241"/>
      <c r="BL40" s="241"/>
      <c r="BM40" s="241"/>
      <c r="BN40" s="241"/>
      <c r="BO40" s="241"/>
      <c r="BP40" s="241"/>
      <c r="BQ40" s="241"/>
      <c r="BR40" s="243">
        <f t="shared" si="1"/>
        <v>-1527.9285714285713</v>
      </c>
      <c r="BS40" s="243">
        <f t="shared" si="2"/>
        <v>-1527.9285714285713</v>
      </c>
    </row>
    <row r="41" spans="1:71">
      <c r="A41" s="111">
        <v>1874</v>
      </c>
      <c r="B41" s="111" t="s">
        <v>37</v>
      </c>
      <c r="C41" s="241">
        <v>2</v>
      </c>
      <c r="D41" s="241">
        <v>42810</v>
      </c>
      <c r="E41" s="241">
        <v>42836</v>
      </c>
      <c r="F41" s="241"/>
      <c r="G41" s="241"/>
      <c r="H41" s="241"/>
      <c r="I41" s="241"/>
      <c r="J41" s="241"/>
      <c r="K41" s="241"/>
      <c r="L41" s="241"/>
      <c r="M41" s="241">
        <v>1004.29</v>
      </c>
      <c r="N41" s="241">
        <v>1698.83</v>
      </c>
      <c r="O41" s="241"/>
      <c r="P41" s="241"/>
      <c r="Q41" s="241"/>
      <c r="R41" s="241"/>
      <c r="S41" s="241"/>
      <c r="T41" s="241"/>
      <c r="U41" s="241"/>
      <c r="V41" s="241">
        <v>1.18</v>
      </c>
      <c r="W41" s="241">
        <v>1.63</v>
      </c>
      <c r="X41" s="241"/>
      <c r="Y41" s="241"/>
      <c r="Z41" s="241"/>
      <c r="AA41" s="241"/>
      <c r="AB41" s="241"/>
      <c r="AC41" s="241"/>
      <c r="AD41" s="241"/>
      <c r="AE41" s="241">
        <v>50.42</v>
      </c>
      <c r="AF41" s="241">
        <v>60.94</v>
      </c>
      <c r="AG41" s="241"/>
      <c r="AH41" s="241"/>
      <c r="AI41" s="241"/>
      <c r="AJ41" s="241"/>
      <c r="AK41" s="241"/>
      <c r="AL41" s="241"/>
      <c r="AM41" s="241"/>
      <c r="AN41" s="241">
        <v>870.41</v>
      </c>
      <c r="AO41" s="241">
        <v>298.57</v>
      </c>
      <c r="AP41" s="241"/>
      <c r="AQ41" s="241"/>
      <c r="AR41" s="241"/>
      <c r="AS41" s="241"/>
      <c r="AT41" s="241"/>
      <c r="AU41" s="241"/>
      <c r="AV41" s="241"/>
      <c r="AW41" s="241">
        <v>47</v>
      </c>
      <c r="AX41" s="241">
        <v>42685</v>
      </c>
      <c r="AY41" s="241">
        <f t="shared" si="3"/>
        <v>-4</v>
      </c>
      <c r="AZ41" s="241">
        <v>47</v>
      </c>
      <c r="BA41" s="241">
        <v>42811</v>
      </c>
      <c r="BB41" s="241">
        <v>0</v>
      </c>
      <c r="BC41" s="241">
        <v>47</v>
      </c>
      <c r="BD41" s="241">
        <v>42926</v>
      </c>
      <c r="BE41" s="241">
        <v>4</v>
      </c>
      <c r="BF41" s="241">
        <v>43</v>
      </c>
      <c r="BG41" s="241">
        <v>42982</v>
      </c>
      <c r="BH41" s="241">
        <v>6</v>
      </c>
      <c r="BI41" s="241">
        <v>39</v>
      </c>
      <c r="BJ41" s="241">
        <v>43157</v>
      </c>
      <c r="BK41" s="241">
        <v>11</v>
      </c>
      <c r="BL41" s="241">
        <v>19</v>
      </c>
      <c r="BM41" s="241">
        <v>43815</v>
      </c>
      <c r="BN41" s="241">
        <v>33</v>
      </c>
      <c r="BO41" s="241"/>
      <c r="BP41" s="241"/>
      <c r="BQ41" s="241"/>
      <c r="BR41" s="243">
        <f t="shared" si="1"/>
        <v>4.1071428571428568</v>
      </c>
      <c r="BS41" s="243">
        <f t="shared" si="2"/>
        <v>6.1071428571428568</v>
      </c>
    </row>
    <row r="42" spans="1:71">
      <c r="A42" s="111">
        <v>1664</v>
      </c>
      <c r="B42" s="111" t="s">
        <v>31</v>
      </c>
      <c r="C42" s="241">
        <v>2</v>
      </c>
      <c r="D42" s="241">
        <v>42817</v>
      </c>
      <c r="E42" s="241">
        <v>42843</v>
      </c>
      <c r="F42" s="241"/>
      <c r="G42" s="241"/>
      <c r="H42" s="241"/>
      <c r="I42" s="241"/>
      <c r="J42" s="241"/>
      <c r="K42" s="241"/>
      <c r="L42" s="241"/>
      <c r="M42" s="241">
        <v>511.42</v>
      </c>
      <c r="N42" s="241">
        <v>1263.5</v>
      </c>
      <c r="O42" s="241"/>
      <c r="P42" s="241"/>
      <c r="Q42" s="241"/>
      <c r="R42" s="241"/>
      <c r="S42" s="241"/>
      <c r="T42" s="241"/>
      <c r="U42" s="241"/>
      <c r="V42" s="241">
        <v>1.03</v>
      </c>
      <c r="W42" s="241">
        <v>2.5299999999999998</v>
      </c>
      <c r="X42" s="241"/>
      <c r="Y42" s="241"/>
      <c r="Z42" s="241"/>
      <c r="AA42" s="241"/>
      <c r="AB42" s="241"/>
      <c r="AC42" s="241"/>
      <c r="AD42" s="241"/>
      <c r="AE42" s="241">
        <v>31.03</v>
      </c>
      <c r="AF42" s="241">
        <v>54.79</v>
      </c>
      <c r="AG42" s="241"/>
      <c r="AH42" s="241"/>
      <c r="AI42" s="241"/>
      <c r="AJ42" s="241"/>
      <c r="AK42" s="241"/>
      <c r="AL42" s="241"/>
      <c r="AM42" s="241"/>
      <c r="AN42" s="241">
        <v>1077.1500000000001</v>
      </c>
      <c r="AO42" s="241">
        <v>906.46</v>
      </c>
      <c r="AP42" s="241"/>
      <c r="AQ42" s="241"/>
      <c r="AR42" s="241"/>
      <c r="AS42" s="241"/>
      <c r="AT42" s="241"/>
      <c r="AU42" s="241"/>
      <c r="AV42" s="241"/>
      <c r="AW42" s="241">
        <v>45</v>
      </c>
      <c r="AX42" s="241">
        <v>42317</v>
      </c>
      <c r="AY42" s="241">
        <f t="shared" si="3"/>
        <v>-16</v>
      </c>
      <c r="AZ42" s="241">
        <v>37</v>
      </c>
      <c r="BA42" s="241">
        <v>42818</v>
      </c>
      <c r="BB42" s="241">
        <v>0</v>
      </c>
      <c r="BC42" s="241">
        <v>36</v>
      </c>
      <c r="BD42" s="241">
        <v>42912</v>
      </c>
      <c r="BE42" s="241">
        <v>3</v>
      </c>
      <c r="BF42" s="241">
        <v>33</v>
      </c>
      <c r="BG42" s="241">
        <v>43007</v>
      </c>
      <c r="BH42" s="241">
        <v>6</v>
      </c>
      <c r="BI42" s="241">
        <v>26</v>
      </c>
      <c r="BJ42" s="241">
        <v>43208</v>
      </c>
      <c r="BK42" s="241">
        <v>13</v>
      </c>
      <c r="BL42" s="241">
        <v>25</v>
      </c>
      <c r="BM42" s="241">
        <v>43542</v>
      </c>
      <c r="BN42" s="241">
        <v>24</v>
      </c>
      <c r="BO42" s="241">
        <v>22</v>
      </c>
      <c r="BP42" s="241">
        <v>43878</v>
      </c>
      <c r="BQ42" s="241">
        <v>35</v>
      </c>
      <c r="BR42" s="243">
        <f t="shared" si="1"/>
        <v>3.3571428571428572</v>
      </c>
      <c r="BS42" s="243">
        <f t="shared" si="2"/>
        <v>6.75</v>
      </c>
    </row>
    <row r="43" spans="1:71">
      <c r="A43" s="111">
        <v>1769</v>
      </c>
      <c r="B43" s="111" t="s">
        <v>25</v>
      </c>
      <c r="C43" s="241">
        <v>2</v>
      </c>
      <c r="D43" s="241">
        <v>42957</v>
      </c>
      <c r="E43" s="241">
        <v>42983</v>
      </c>
      <c r="F43" s="241"/>
      <c r="G43" s="241"/>
      <c r="H43" s="241"/>
      <c r="I43" s="241"/>
      <c r="J43" s="241"/>
      <c r="K43" s="241"/>
      <c r="L43" s="241"/>
      <c r="M43" s="241">
        <v>1717</v>
      </c>
      <c r="N43" s="241">
        <v>6574.4000000000005</v>
      </c>
      <c r="O43" s="241"/>
      <c r="P43" s="241"/>
      <c r="Q43" s="241"/>
      <c r="R43" s="241"/>
      <c r="S43" s="241"/>
      <c r="T43" s="241"/>
      <c r="U43" s="241"/>
      <c r="V43" s="241">
        <v>2.2400000000000002</v>
      </c>
      <c r="W43" s="241">
        <v>32.86</v>
      </c>
      <c r="X43" s="241"/>
      <c r="Y43" s="241"/>
      <c r="Z43" s="241"/>
      <c r="AA43" s="241"/>
      <c r="AB43" s="241"/>
      <c r="AC43" s="241"/>
      <c r="AD43" s="241"/>
      <c r="AE43" s="241">
        <v>175.8</v>
      </c>
      <c r="AF43" s="241">
        <v>152.66999999999999</v>
      </c>
      <c r="AG43" s="241"/>
      <c r="AH43" s="241"/>
      <c r="AI43" s="241"/>
      <c r="AJ43" s="241"/>
      <c r="AK43" s="241"/>
      <c r="AL43" s="241"/>
      <c r="AM43" s="241"/>
      <c r="AN43" s="241">
        <v>2567.91</v>
      </c>
      <c r="AO43" s="241">
        <v>2067.3200000000002</v>
      </c>
      <c r="AP43" s="241"/>
      <c r="AQ43" s="241"/>
      <c r="AR43" s="241"/>
      <c r="AS43" s="241"/>
      <c r="AT43" s="241"/>
      <c r="AU43" s="241"/>
      <c r="AV43" s="241"/>
      <c r="AW43" s="241">
        <v>39</v>
      </c>
      <c r="AX43" s="241">
        <v>42482</v>
      </c>
      <c r="AY43" s="241">
        <f t="shared" si="3"/>
        <v>-16</v>
      </c>
      <c r="AZ43" s="241">
        <v>34</v>
      </c>
      <c r="BA43" s="241">
        <v>42957</v>
      </c>
      <c r="BB43" s="241">
        <v>0</v>
      </c>
      <c r="BC43" s="241">
        <v>33</v>
      </c>
      <c r="BD43" s="241">
        <v>43021</v>
      </c>
      <c r="BE43" s="241">
        <v>2</v>
      </c>
      <c r="BF43" s="241">
        <v>33</v>
      </c>
      <c r="BG43" s="241">
        <v>43104</v>
      </c>
      <c r="BH43" s="241">
        <v>5</v>
      </c>
      <c r="BI43" s="241">
        <v>29</v>
      </c>
      <c r="BJ43" s="241">
        <v>43283</v>
      </c>
      <c r="BK43" s="241">
        <v>11</v>
      </c>
      <c r="BL43" s="241"/>
      <c r="BM43" s="241"/>
      <c r="BN43" s="241"/>
      <c r="BO43" s="241"/>
      <c r="BP43" s="241"/>
      <c r="BQ43" s="241"/>
      <c r="BR43" s="243">
        <f t="shared" si="1"/>
        <v>2.2857142857142856</v>
      </c>
      <c r="BS43" s="243">
        <f t="shared" si="2"/>
        <v>5.25</v>
      </c>
    </row>
    <row r="44" spans="1:71">
      <c r="A44" s="111">
        <v>2039</v>
      </c>
      <c r="B44" s="111" t="s">
        <v>8</v>
      </c>
      <c r="C44" s="241">
        <v>4</v>
      </c>
      <c r="D44" s="241">
        <v>42972</v>
      </c>
      <c r="E44" s="241">
        <v>42998</v>
      </c>
      <c r="F44" s="241">
        <v>43224</v>
      </c>
      <c r="G44" s="241">
        <v>43250</v>
      </c>
      <c r="H44" s="241"/>
      <c r="I44" s="241"/>
      <c r="J44" s="241"/>
      <c r="K44" s="241"/>
      <c r="L44" s="241"/>
      <c r="M44" s="241">
        <v>1106.9000000000001</v>
      </c>
      <c r="N44" s="241">
        <v>1521.1000000000001</v>
      </c>
      <c r="O44" s="241">
        <v>1286</v>
      </c>
      <c r="P44" s="241">
        <v>1261.9000000000001</v>
      </c>
      <c r="Q44" s="241"/>
      <c r="R44" s="241"/>
      <c r="S44" s="241"/>
      <c r="T44" s="241"/>
      <c r="U44" s="241"/>
      <c r="V44" s="241">
        <v>2.98</v>
      </c>
      <c r="W44" s="241">
        <v>3.11</v>
      </c>
      <c r="X44" s="241">
        <v>2.33</v>
      </c>
      <c r="Y44" s="241">
        <v>2.59</v>
      </c>
      <c r="Z44" s="241"/>
      <c r="AA44" s="241"/>
      <c r="AB44" s="241"/>
      <c r="AC44" s="241"/>
      <c r="AD44" s="241"/>
      <c r="AE44" s="241">
        <v>26.37</v>
      </c>
      <c r="AF44" s="241">
        <v>34</v>
      </c>
      <c r="AG44" s="241">
        <v>29.48</v>
      </c>
      <c r="AH44" s="241">
        <v>24.49</v>
      </c>
      <c r="AI44" s="241"/>
      <c r="AJ44" s="241"/>
      <c r="AK44" s="241"/>
      <c r="AL44" s="241"/>
      <c r="AM44" s="241"/>
      <c r="AN44" s="241">
        <v>593.13</v>
      </c>
      <c r="AO44" s="241">
        <v>509.13</v>
      </c>
      <c r="AP44" s="241">
        <v>690.35</v>
      </c>
      <c r="AQ44" s="241">
        <v>378.56</v>
      </c>
      <c r="AR44" s="241"/>
      <c r="AS44" s="241"/>
      <c r="AT44" s="241"/>
      <c r="AU44" s="241"/>
      <c r="AV44" s="241"/>
      <c r="AW44" s="241">
        <v>35</v>
      </c>
      <c r="AX44" s="241">
        <v>42940</v>
      </c>
      <c r="AY44" s="241">
        <f t="shared" si="3"/>
        <v>-1</v>
      </c>
      <c r="AZ44" s="241">
        <v>36</v>
      </c>
      <c r="BA44" s="241">
        <v>42972</v>
      </c>
      <c r="BB44" s="241">
        <v>0</v>
      </c>
      <c r="BC44" s="241">
        <v>34</v>
      </c>
      <c r="BD44" s="241">
        <v>43157</v>
      </c>
      <c r="BE44" s="241">
        <v>6</v>
      </c>
      <c r="BF44" s="241">
        <v>27</v>
      </c>
      <c r="BG44" s="241">
        <v>43224</v>
      </c>
      <c r="BH44" s="241">
        <v>8</v>
      </c>
      <c r="BI44" s="241">
        <v>27</v>
      </c>
      <c r="BJ44" s="241">
        <v>43249</v>
      </c>
      <c r="BK44" s="241">
        <v>9</v>
      </c>
      <c r="BL44" s="241">
        <v>21</v>
      </c>
      <c r="BM44" s="241">
        <v>43357</v>
      </c>
      <c r="BN44" s="241">
        <v>13</v>
      </c>
      <c r="BO44" s="241"/>
      <c r="BP44" s="241"/>
      <c r="BQ44" s="241"/>
      <c r="BR44" s="243">
        <f t="shared" si="1"/>
        <v>6.6071428571428568</v>
      </c>
      <c r="BS44" s="243">
        <f t="shared" si="2"/>
        <v>9</v>
      </c>
    </row>
    <row r="45" spans="1:71">
      <c r="A45" s="111">
        <v>2063</v>
      </c>
      <c r="B45" s="111" t="s">
        <v>72</v>
      </c>
      <c r="C45" s="241">
        <v>2</v>
      </c>
      <c r="D45" s="241">
        <v>43007</v>
      </c>
      <c r="E45" s="241">
        <v>43033</v>
      </c>
      <c r="F45" s="241"/>
      <c r="G45" s="241"/>
      <c r="H45" s="241"/>
      <c r="I45" s="241"/>
      <c r="J45" s="241"/>
      <c r="K45" s="241"/>
      <c r="L45" s="241"/>
      <c r="M45" s="241">
        <v>1575.6999999999998</v>
      </c>
      <c r="N45" s="241">
        <v>2061.8000000000002</v>
      </c>
      <c r="O45" s="241"/>
      <c r="P45" s="241"/>
      <c r="Q45" s="241"/>
      <c r="R45" s="241"/>
      <c r="S45" s="241"/>
      <c r="T45" s="241"/>
      <c r="U45" s="241"/>
      <c r="V45" s="241">
        <v>3.24</v>
      </c>
      <c r="W45" s="241">
        <v>4.07</v>
      </c>
      <c r="X45" s="241"/>
      <c r="Y45" s="241"/>
      <c r="Z45" s="241"/>
      <c r="AA45" s="241"/>
      <c r="AB45" s="241"/>
      <c r="AC45" s="241"/>
      <c r="AD45" s="241"/>
      <c r="AE45" s="241">
        <v>43.5</v>
      </c>
      <c r="AF45" s="241">
        <v>53.15</v>
      </c>
      <c r="AG45" s="241"/>
      <c r="AH45" s="241"/>
      <c r="AI45" s="241"/>
      <c r="AJ45" s="241"/>
      <c r="AK45" s="241"/>
      <c r="AL45" s="241"/>
      <c r="AM45" s="241"/>
      <c r="AN45" s="241">
        <v>1245.95</v>
      </c>
      <c r="AO45" s="241">
        <v>919.36</v>
      </c>
      <c r="AP45" s="241"/>
      <c r="AQ45" s="241"/>
      <c r="AR45" s="241"/>
      <c r="AS45" s="241"/>
      <c r="AT45" s="241"/>
      <c r="AU45" s="241"/>
      <c r="AV45" s="241"/>
      <c r="AW45" s="241">
        <v>28</v>
      </c>
      <c r="AX45" s="241">
        <v>42978</v>
      </c>
      <c r="AY45" s="241">
        <f t="shared" si="3"/>
        <v>-1</v>
      </c>
      <c r="AZ45" s="241">
        <v>26</v>
      </c>
      <c r="BA45" s="241">
        <v>43007</v>
      </c>
      <c r="BB45" s="241">
        <v>0</v>
      </c>
      <c r="BC45" s="241"/>
      <c r="BD45" s="241"/>
      <c r="BE45" s="241"/>
      <c r="BF45" s="241"/>
      <c r="BG45" s="241"/>
      <c r="BH45" s="241"/>
      <c r="BI45" s="241"/>
      <c r="BJ45" s="241"/>
      <c r="BK45" s="241"/>
      <c r="BL45" s="241"/>
      <c r="BM45" s="241"/>
      <c r="BN45" s="241"/>
      <c r="BO45" s="241"/>
      <c r="BP45" s="241"/>
      <c r="BQ45" s="241"/>
      <c r="BR45" s="243">
        <f t="shared" si="1"/>
        <v>-1535.9642857142858</v>
      </c>
      <c r="BS45" s="243">
        <f t="shared" si="2"/>
        <v>-1535.9642857142858</v>
      </c>
    </row>
    <row r="46" spans="1:71">
      <c r="A46" s="111">
        <v>1984</v>
      </c>
      <c r="B46" s="111" t="s">
        <v>2</v>
      </c>
      <c r="C46" s="241">
        <v>4</v>
      </c>
      <c r="D46" s="241">
        <v>43026</v>
      </c>
      <c r="E46" s="241">
        <v>43052</v>
      </c>
      <c r="F46" s="241">
        <v>43518</v>
      </c>
      <c r="G46" s="241">
        <v>43544</v>
      </c>
      <c r="H46" s="241"/>
      <c r="I46" s="241"/>
      <c r="J46" s="241"/>
      <c r="K46" s="241"/>
      <c r="L46" s="241"/>
      <c r="M46" s="241">
        <v>963.8</v>
      </c>
      <c r="N46" s="241">
        <v>2378.1</v>
      </c>
      <c r="O46" s="241">
        <v>1018.9</v>
      </c>
      <c r="P46" s="241">
        <v>1236.5</v>
      </c>
      <c r="Q46" s="241"/>
      <c r="R46" s="241"/>
      <c r="S46" s="241"/>
      <c r="T46" s="241"/>
      <c r="U46" s="241"/>
      <c r="V46" s="241">
        <v>3.75</v>
      </c>
      <c r="W46" s="241">
        <v>4.82</v>
      </c>
      <c r="X46" s="241">
        <v>4.18</v>
      </c>
      <c r="Y46" s="241">
        <v>7.29</v>
      </c>
      <c r="Z46" s="241"/>
      <c r="AA46" s="241"/>
      <c r="AB46" s="241"/>
      <c r="AC46" s="241"/>
      <c r="AD46" s="241"/>
      <c r="AE46" s="241">
        <v>44.64</v>
      </c>
      <c r="AF46" s="241">
        <v>47.45</v>
      </c>
      <c r="AG46" s="241">
        <v>35.07</v>
      </c>
      <c r="AH46" s="241">
        <v>37.159999999999997</v>
      </c>
      <c r="AI46" s="241"/>
      <c r="AJ46" s="241"/>
      <c r="AK46" s="241"/>
      <c r="AL46" s="241"/>
      <c r="AM46" s="241"/>
      <c r="AN46" s="241">
        <v>929.77</v>
      </c>
      <c r="AO46" s="241">
        <v>722.57</v>
      </c>
      <c r="AP46" s="241">
        <v>1320.35</v>
      </c>
      <c r="AQ46" s="241">
        <v>489.38</v>
      </c>
      <c r="AR46" s="241"/>
      <c r="AS46" s="241"/>
      <c r="AT46" s="241"/>
      <c r="AU46" s="241"/>
      <c r="AV46" s="241"/>
      <c r="AW46" s="241">
        <v>45</v>
      </c>
      <c r="AX46" s="241">
        <v>42874</v>
      </c>
      <c r="AY46" s="241">
        <f t="shared" si="3"/>
        <v>-5</v>
      </c>
      <c r="AZ46" s="241">
        <v>43</v>
      </c>
      <c r="BA46" s="241">
        <v>43027</v>
      </c>
      <c r="BB46" s="241">
        <v>0</v>
      </c>
      <c r="BC46" s="241">
        <v>37</v>
      </c>
      <c r="BD46" s="241">
        <v>43115</v>
      </c>
      <c r="BE46" s="241">
        <v>3</v>
      </c>
      <c r="BF46" s="241">
        <v>30</v>
      </c>
      <c r="BG46" s="241">
        <v>43339</v>
      </c>
      <c r="BH46" s="241">
        <f>ROUND((BG46-BA46)/30.5,0.5)</f>
        <v>10</v>
      </c>
      <c r="BI46" s="241">
        <v>26</v>
      </c>
      <c r="BJ46" s="241">
        <v>43455</v>
      </c>
      <c r="BK46" s="241">
        <f>ROUND((BJ46-BA46)/30.5,0.5)</f>
        <v>14</v>
      </c>
      <c r="BL46" s="241">
        <v>23</v>
      </c>
      <c r="BM46" s="241">
        <v>43745</v>
      </c>
      <c r="BN46" s="241">
        <v>24</v>
      </c>
      <c r="BO46" s="241">
        <v>22</v>
      </c>
      <c r="BP46" s="241">
        <v>43745</v>
      </c>
      <c r="BQ46" s="241">
        <f>ROUND((BP46-BA46)/30.5,0.5)</f>
        <v>24</v>
      </c>
      <c r="BR46" s="243">
        <f t="shared" si="1"/>
        <v>3.1428571428571428</v>
      </c>
      <c r="BS46" s="243">
        <f t="shared" si="2"/>
        <v>11.142857142857142</v>
      </c>
    </row>
    <row r="47" spans="1:71">
      <c r="A47" s="111">
        <v>2081</v>
      </c>
      <c r="B47" s="111" t="s">
        <v>1</v>
      </c>
      <c r="C47" s="241">
        <v>6</v>
      </c>
      <c r="D47" s="241">
        <v>43035</v>
      </c>
      <c r="E47" s="241">
        <v>43061</v>
      </c>
      <c r="F47" s="241">
        <v>43517</v>
      </c>
      <c r="G47" s="241">
        <v>43543</v>
      </c>
      <c r="H47" s="241">
        <v>43781</v>
      </c>
      <c r="I47" s="241"/>
      <c r="J47" s="241"/>
      <c r="K47" s="241"/>
      <c r="L47" s="241"/>
      <c r="M47" s="241">
        <v>946.59999999999991</v>
      </c>
      <c r="N47" s="241">
        <v>2068.3000000000002</v>
      </c>
      <c r="O47" s="241">
        <v>833.1</v>
      </c>
      <c r="P47" s="241">
        <v>1014.7</v>
      </c>
      <c r="Q47" s="241">
        <v>758.6</v>
      </c>
      <c r="R47" s="241">
        <v>944</v>
      </c>
      <c r="S47" s="241"/>
      <c r="T47" s="241"/>
      <c r="U47" s="241"/>
      <c r="V47" s="241">
        <v>3.95</v>
      </c>
      <c r="W47" s="241">
        <v>4.8499999999999996</v>
      </c>
      <c r="X47" s="241">
        <v>2.125</v>
      </c>
      <c r="Y47" s="241">
        <v>6.15</v>
      </c>
      <c r="Z47" s="241">
        <v>2.125</v>
      </c>
      <c r="AA47" s="241">
        <v>1.75</v>
      </c>
      <c r="AB47" s="241"/>
      <c r="AC47" s="241"/>
      <c r="AD47" s="241"/>
      <c r="AE47" s="241">
        <v>39.04</v>
      </c>
      <c r="AF47" s="241">
        <v>38.4</v>
      </c>
      <c r="AG47" s="241">
        <v>33.93</v>
      </c>
      <c r="AH47" s="241">
        <v>26.25</v>
      </c>
      <c r="AI47" s="241">
        <v>24.45</v>
      </c>
      <c r="AJ47" s="241">
        <v>21.89</v>
      </c>
      <c r="AK47" s="241"/>
      <c r="AL47" s="241"/>
      <c r="AM47" s="241"/>
      <c r="AN47" s="241">
        <v>932.62</v>
      </c>
      <c r="AO47" s="241">
        <v>608.23</v>
      </c>
      <c r="AP47" s="241">
        <v>716.14</v>
      </c>
      <c r="AQ47" s="241">
        <v>272.51</v>
      </c>
      <c r="AR47" s="241">
        <v>360.35</v>
      </c>
      <c r="AS47" s="241">
        <v>278.89999999999998</v>
      </c>
      <c r="AT47" s="241"/>
      <c r="AU47" s="241"/>
      <c r="AV47" s="241"/>
      <c r="AW47" s="241">
        <v>32</v>
      </c>
      <c r="AX47" s="241">
        <v>43006</v>
      </c>
      <c r="AY47" s="241">
        <f t="shared" si="3"/>
        <v>-1</v>
      </c>
      <c r="AZ47" s="241">
        <v>31</v>
      </c>
      <c r="BA47" s="241">
        <v>43035</v>
      </c>
      <c r="BB47" s="241">
        <v>0</v>
      </c>
      <c r="BC47" s="241">
        <v>31</v>
      </c>
      <c r="BD47" s="241">
        <v>43061</v>
      </c>
      <c r="BE47" s="241">
        <v>1</v>
      </c>
      <c r="BF47" s="241">
        <v>24</v>
      </c>
      <c r="BG47" s="241">
        <v>43221</v>
      </c>
      <c r="BH47" s="241">
        <v>6</v>
      </c>
      <c r="BI47" s="241">
        <v>24</v>
      </c>
      <c r="BJ47" s="241">
        <v>43517</v>
      </c>
      <c r="BK47" s="241">
        <v>16</v>
      </c>
      <c r="BL47" s="241">
        <v>24</v>
      </c>
      <c r="BM47" s="241">
        <v>43543</v>
      </c>
      <c r="BN47" s="241">
        <v>17</v>
      </c>
      <c r="BO47" s="241">
        <v>21</v>
      </c>
      <c r="BP47" s="241">
        <v>43781</v>
      </c>
      <c r="BQ47" s="241">
        <v>24</v>
      </c>
      <c r="BR47" s="243">
        <f t="shared" si="1"/>
        <v>0.9285714285714286</v>
      </c>
      <c r="BS47" s="243">
        <f t="shared" si="2"/>
        <v>6.6428571428571432</v>
      </c>
    </row>
    <row r="48" spans="1:71">
      <c r="A48" s="111">
        <v>2082</v>
      </c>
      <c r="B48" s="111" t="s">
        <v>70</v>
      </c>
      <c r="C48" s="241">
        <v>2</v>
      </c>
      <c r="D48" s="241">
        <v>43035</v>
      </c>
      <c r="E48" s="241">
        <v>43061</v>
      </c>
      <c r="F48" s="241"/>
      <c r="G48" s="241"/>
      <c r="H48" s="241"/>
      <c r="I48" s="241"/>
      <c r="J48" s="241"/>
      <c r="K48" s="241"/>
      <c r="L48" s="241"/>
      <c r="M48" s="241">
        <v>1331.1000000000001</v>
      </c>
      <c r="N48" s="241">
        <v>3471.1000000000004</v>
      </c>
      <c r="O48" s="241"/>
      <c r="P48" s="241"/>
      <c r="Q48" s="241"/>
      <c r="R48" s="241"/>
      <c r="S48" s="241"/>
      <c r="T48" s="241"/>
      <c r="U48" s="241"/>
      <c r="V48" s="241">
        <v>2.29</v>
      </c>
      <c r="W48" s="241">
        <v>19.170000000000002</v>
      </c>
      <c r="X48" s="241"/>
      <c r="Y48" s="241"/>
      <c r="Z48" s="241"/>
      <c r="AA48" s="241"/>
      <c r="AB48" s="241"/>
      <c r="AC48" s="241"/>
      <c r="AD48" s="241"/>
      <c r="AE48" s="241">
        <v>35.03</v>
      </c>
      <c r="AF48" s="241">
        <v>59.06</v>
      </c>
      <c r="AG48" s="241"/>
      <c r="AH48" s="241"/>
      <c r="AI48" s="241"/>
      <c r="AJ48" s="241"/>
      <c r="AK48" s="241"/>
      <c r="AL48" s="241"/>
      <c r="AM48" s="241"/>
      <c r="AN48" s="241">
        <v>754.64</v>
      </c>
      <c r="AO48" s="241">
        <v>883.43</v>
      </c>
      <c r="AP48" s="241"/>
      <c r="AQ48" s="241"/>
      <c r="AR48" s="241"/>
      <c r="AS48" s="241"/>
      <c r="AT48" s="241"/>
      <c r="AU48" s="241"/>
      <c r="AV48" s="241"/>
      <c r="AW48" s="241">
        <v>15</v>
      </c>
      <c r="AX48" s="241">
        <v>43006</v>
      </c>
      <c r="AY48" s="241">
        <f t="shared" si="3"/>
        <v>-1</v>
      </c>
      <c r="AZ48" s="241">
        <v>14</v>
      </c>
      <c r="BA48" s="241">
        <v>43032</v>
      </c>
      <c r="BB48" s="241">
        <v>0</v>
      </c>
      <c r="BC48" s="241"/>
      <c r="BD48" s="241"/>
      <c r="BE48" s="241"/>
      <c r="BF48" s="241"/>
      <c r="BG48" s="241"/>
      <c r="BH48" s="241"/>
      <c r="BI48" s="241"/>
      <c r="BJ48" s="241"/>
      <c r="BK48" s="241"/>
      <c r="BL48" s="241"/>
      <c r="BM48" s="241"/>
      <c r="BN48" s="241"/>
      <c r="BO48" s="241"/>
      <c r="BP48" s="241"/>
      <c r="BQ48" s="241"/>
      <c r="BR48" s="243">
        <f t="shared" si="1"/>
        <v>-1536.8571428571429</v>
      </c>
      <c r="BS48" s="243">
        <f t="shared" si="2"/>
        <v>-1536.8571428571429</v>
      </c>
    </row>
    <row r="49" spans="1:71">
      <c r="A49" s="111">
        <v>2089</v>
      </c>
      <c r="B49" s="111" t="s">
        <v>71</v>
      </c>
      <c r="C49" s="241">
        <v>2</v>
      </c>
      <c r="D49" s="241">
        <v>43047</v>
      </c>
      <c r="E49" s="241">
        <v>43073</v>
      </c>
      <c r="F49" s="241"/>
      <c r="G49" s="241"/>
      <c r="H49" s="241"/>
      <c r="I49" s="241"/>
      <c r="J49" s="241"/>
      <c r="K49" s="241"/>
      <c r="L49" s="241"/>
      <c r="M49" s="241">
        <v>1337.8999999999999</v>
      </c>
      <c r="N49" s="241">
        <v>2658.8999999999996</v>
      </c>
      <c r="O49" s="241"/>
      <c r="P49" s="241"/>
      <c r="Q49" s="241"/>
      <c r="R49" s="241"/>
      <c r="S49" s="241"/>
      <c r="T49" s="241"/>
      <c r="U49" s="241"/>
      <c r="V49" s="241">
        <v>5.0199999999999996</v>
      </c>
      <c r="W49" s="241">
        <v>8.1999999999999993</v>
      </c>
      <c r="X49" s="241"/>
      <c r="Y49" s="241"/>
      <c r="Z49" s="241"/>
      <c r="AA49" s="241"/>
      <c r="AB49" s="241"/>
      <c r="AC49" s="241"/>
      <c r="AD49" s="241"/>
      <c r="AE49" s="241">
        <v>49.22</v>
      </c>
      <c r="AF49" s="241">
        <v>71.84</v>
      </c>
      <c r="AG49" s="241"/>
      <c r="AH49" s="241"/>
      <c r="AI49" s="241"/>
      <c r="AJ49" s="241"/>
      <c r="AK49" s="241"/>
      <c r="AL49" s="241"/>
      <c r="AM49" s="241"/>
      <c r="AN49" s="241">
        <v>1263.9000000000001</v>
      </c>
      <c r="AO49" s="241">
        <v>872.56</v>
      </c>
      <c r="AP49" s="241"/>
      <c r="AQ49" s="241"/>
      <c r="AR49" s="241"/>
      <c r="AS49" s="241"/>
      <c r="AT49" s="241"/>
      <c r="AU49" s="241"/>
      <c r="AV49" s="241"/>
      <c r="AW49" s="241">
        <v>43</v>
      </c>
      <c r="AX49" s="241">
        <v>43019</v>
      </c>
      <c r="AY49" s="241">
        <f t="shared" si="3"/>
        <v>-1</v>
      </c>
      <c r="AZ49" s="241">
        <v>38</v>
      </c>
      <c r="BA49" s="241">
        <v>43047</v>
      </c>
      <c r="BB49" s="241">
        <v>0</v>
      </c>
      <c r="BC49" s="241"/>
      <c r="BD49" s="241"/>
      <c r="BE49" s="241"/>
      <c r="BF49" s="241"/>
      <c r="BG49" s="241"/>
      <c r="BH49" s="241"/>
      <c r="BI49" s="241"/>
      <c r="BJ49" s="241"/>
      <c r="BK49" s="241"/>
      <c r="BL49" s="241"/>
      <c r="BM49" s="241"/>
      <c r="BN49" s="241"/>
      <c r="BO49" s="241"/>
      <c r="BP49" s="241"/>
      <c r="BQ49" s="241"/>
      <c r="BR49" s="243">
        <f t="shared" si="1"/>
        <v>-1537.3928571428571</v>
      </c>
      <c r="BS49" s="243">
        <f t="shared" si="2"/>
        <v>-1537.3928571428571</v>
      </c>
    </row>
    <row r="50" spans="1:71">
      <c r="A50" s="111">
        <v>2102</v>
      </c>
      <c r="B50" s="111" t="s">
        <v>6</v>
      </c>
      <c r="C50" s="241">
        <v>4</v>
      </c>
      <c r="D50" s="241">
        <v>43062</v>
      </c>
      <c r="E50" s="241">
        <v>43088</v>
      </c>
      <c r="F50" s="241">
        <v>43406</v>
      </c>
      <c r="G50" s="241">
        <v>43432</v>
      </c>
      <c r="H50" s="241"/>
      <c r="I50" s="241"/>
      <c r="J50" s="241"/>
      <c r="K50" s="241"/>
      <c r="L50" s="241"/>
      <c r="M50" s="241">
        <v>1185.5999999999999</v>
      </c>
      <c r="N50" s="241">
        <v>1457.8999999999999</v>
      </c>
      <c r="O50" s="241">
        <v>1249.4000000000001</v>
      </c>
      <c r="P50" s="241">
        <v>1370.6999999999998</v>
      </c>
      <c r="Q50" s="241"/>
      <c r="R50" s="241"/>
      <c r="S50" s="241"/>
      <c r="T50" s="241"/>
      <c r="U50" s="241"/>
      <c r="V50" s="241">
        <v>3.37</v>
      </c>
      <c r="W50" s="241">
        <v>3.62</v>
      </c>
      <c r="X50" s="241">
        <v>3.11</v>
      </c>
      <c r="Y50" s="241">
        <v>2.72</v>
      </c>
      <c r="Z50" s="241"/>
      <c r="AA50" s="241"/>
      <c r="AB50" s="241"/>
      <c r="AC50" s="241"/>
      <c r="AD50" s="241"/>
      <c r="AE50" s="241">
        <v>42.78</v>
      </c>
      <c r="AF50" s="241">
        <v>44.99</v>
      </c>
      <c r="AG50" s="241">
        <v>35.82</v>
      </c>
      <c r="AH50" s="241">
        <v>37.090000000000003</v>
      </c>
      <c r="AI50" s="241"/>
      <c r="AJ50" s="241"/>
      <c r="AK50" s="241"/>
      <c r="AL50" s="241"/>
      <c r="AM50" s="241"/>
      <c r="AN50" s="241">
        <v>751.59</v>
      </c>
      <c r="AO50" s="241">
        <v>750.78</v>
      </c>
      <c r="AP50" s="241">
        <v>731.47</v>
      </c>
      <c r="AQ50" s="241">
        <v>644.04</v>
      </c>
      <c r="AR50" s="241"/>
      <c r="AS50" s="241"/>
      <c r="AT50" s="241"/>
      <c r="AU50" s="241"/>
      <c r="AV50" s="241"/>
      <c r="AW50" s="241">
        <v>33</v>
      </c>
      <c r="AX50" s="241">
        <v>43034</v>
      </c>
      <c r="AY50" s="241">
        <f t="shared" si="3"/>
        <v>-1</v>
      </c>
      <c r="AZ50" s="241">
        <v>33</v>
      </c>
      <c r="BA50" s="241">
        <v>43062</v>
      </c>
      <c r="BB50" s="241">
        <v>0</v>
      </c>
      <c r="BC50" s="241">
        <v>30</v>
      </c>
      <c r="BD50" s="241">
        <v>43318</v>
      </c>
      <c r="BE50" s="241">
        <v>8</v>
      </c>
      <c r="BF50" s="241">
        <v>27</v>
      </c>
      <c r="BG50" s="241">
        <v>43378</v>
      </c>
      <c r="BH50" s="241">
        <v>12</v>
      </c>
      <c r="BI50" s="241">
        <v>27</v>
      </c>
      <c r="BJ50" s="241">
        <v>43432</v>
      </c>
      <c r="BK50" s="241">
        <v>14</v>
      </c>
      <c r="BL50" s="241"/>
      <c r="BM50" s="241"/>
      <c r="BN50" s="241"/>
      <c r="BO50" s="241"/>
      <c r="BP50" s="241"/>
      <c r="BQ50" s="241"/>
      <c r="BR50" s="243">
        <f t="shared" si="1"/>
        <v>9.1428571428571423</v>
      </c>
      <c r="BS50" s="243">
        <f t="shared" si="2"/>
        <v>11.285714285714286</v>
      </c>
    </row>
    <row r="51" spans="1:71">
      <c r="A51" s="111">
        <v>2130</v>
      </c>
      <c r="B51" s="111" t="s">
        <v>69</v>
      </c>
      <c r="C51" s="241">
        <v>2</v>
      </c>
      <c r="D51" s="241">
        <v>43091</v>
      </c>
      <c r="E51" s="241">
        <v>43117</v>
      </c>
      <c r="F51" s="241"/>
      <c r="G51" s="241"/>
      <c r="H51" s="241"/>
      <c r="I51" s="241"/>
      <c r="J51" s="241"/>
      <c r="K51" s="241"/>
      <c r="L51" s="241"/>
      <c r="M51" s="241">
        <v>1249.4000000000001</v>
      </c>
      <c r="N51" s="241">
        <v>1872.4</v>
      </c>
      <c r="O51" s="241"/>
      <c r="P51" s="241"/>
      <c r="Q51" s="241"/>
      <c r="R51" s="241"/>
      <c r="S51" s="241"/>
      <c r="T51" s="241"/>
      <c r="U51" s="241"/>
      <c r="V51" s="241">
        <v>2.4700000000000002</v>
      </c>
      <c r="W51" s="241">
        <v>10.59</v>
      </c>
      <c r="X51" s="241"/>
      <c r="Y51" s="241"/>
      <c r="Z51" s="241"/>
      <c r="AA51" s="241"/>
      <c r="AB51" s="241"/>
      <c r="AC51" s="241"/>
      <c r="AD51" s="241"/>
      <c r="AE51" s="241">
        <v>48.96</v>
      </c>
      <c r="AF51" s="241">
        <v>51.89</v>
      </c>
      <c r="AG51" s="241"/>
      <c r="AH51" s="241"/>
      <c r="AI51" s="241"/>
      <c r="AJ51" s="241"/>
      <c r="AK51" s="241"/>
      <c r="AL51" s="241"/>
      <c r="AM51" s="241"/>
      <c r="AN51" s="241">
        <v>1446.99</v>
      </c>
      <c r="AO51" s="241">
        <v>440.16</v>
      </c>
      <c r="AP51" s="241"/>
      <c r="AQ51" s="241"/>
      <c r="AR51" s="241"/>
      <c r="AS51" s="241"/>
      <c r="AT51" s="241"/>
      <c r="AU51" s="241"/>
      <c r="AV51" s="241"/>
      <c r="AW51" s="241">
        <v>29</v>
      </c>
      <c r="AX51" s="241">
        <v>43063</v>
      </c>
      <c r="AY51" s="241">
        <f t="shared" si="3"/>
        <v>-1</v>
      </c>
      <c r="AZ51" s="241">
        <v>26</v>
      </c>
      <c r="BA51" s="241">
        <v>43091</v>
      </c>
      <c r="BB51" s="241">
        <v>0</v>
      </c>
      <c r="BC51" s="241"/>
      <c r="BD51" s="241"/>
      <c r="BE51" s="241"/>
      <c r="BF51" s="241"/>
      <c r="BG51" s="241"/>
      <c r="BH51" s="241"/>
      <c r="BI51" s="241"/>
      <c r="BJ51" s="241"/>
      <c r="BK51" s="241"/>
      <c r="BL51" s="241"/>
      <c r="BM51" s="241"/>
      <c r="BN51" s="241"/>
      <c r="BO51" s="241"/>
      <c r="BP51" s="241"/>
      <c r="BQ51" s="241"/>
      <c r="BR51" s="243">
        <f t="shared" si="1"/>
        <v>-1538.9642857142858</v>
      </c>
      <c r="BS51" s="243">
        <f t="shared" si="2"/>
        <v>-1538.9642857142858</v>
      </c>
    </row>
    <row r="52" spans="1:71">
      <c r="A52" s="111">
        <v>2180</v>
      </c>
      <c r="B52" s="111" t="s">
        <v>67</v>
      </c>
      <c r="C52" s="241">
        <v>2</v>
      </c>
      <c r="D52" s="241">
        <v>43168</v>
      </c>
      <c r="E52" s="241">
        <v>43193</v>
      </c>
      <c r="F52" s="241"/>
      <c r="G52" s="241"/>
      <c r="H52" s="241"/>
      <c r="I52" s="241"/>
      <c r="J52" s="241"/>
      <c r="K52" s="241"/>
      <c r="L52" s="241"/>
      <c r="M52" s="241">
        <v>1001.3</v>
      </c>
      <c r="N52" s="241">
        <v>1660.1</v>
      </c>
      <c r="O52" s="241"/>
      <c r="P52" s="241"/>
      <c r="Q52" s="241"/>
      <c r="R52" s="241"/>
      <c r="S52" s="241"/>
      <c r="T52" s="241"/>
      <c r="U52" s="241"/>
      <c r="V52" s="241">
        <v>2.79</v>
      </c>
      <c r="W52" s="241">
        <v>2.92</v>
      </c>
      <c r="X52" s="241"/>
      <c r="Y52" s="241"/>
      <c r="Z52" s="241"/>
      <c r="AA52" s="241"/>
      <c r="AB52" s="241"/>
      <c r="AC52" s="241"/>
      <c r="AD52" s="241"/>
      <c r="AE52" s="241">
        <v>41.93</v>
      </c>
      <c r="AF52" s="241">
        <v>45.31</v>
      </c>
      <c r="AG52" s="241"/>
      <c r="AH52" s="241"/>
      <c r="AI52" s="241"/>
      <c r="AJ52" s="241"/>
      <c r="AK52" s="241"/>
      <c r="AL52" s="241"/>
      <c r="AM52" s="241"/>
      <c r="AN52" s="241">
        <v>938.67</v>
      </c>
      <c r="AO52" s="241">
        <v>776.49</v>
      </c>
      <c r="AP52" s="241"/>
      <c r="AQ52" s="241"/>
      <c r="AR52" s="241"/>
      <c r="AS52" s="241"/>
      <c r="AT52" s="241"/>
      <c r="AU52" s="241"/>
      <c r="AV52" s="241"/>
      <c r="AW52" s="241">
        <v>29</v>
      </c>
      <c r="AX52" s="241">
        <v>43139</v>
      </c>
      <c r="AY52" s="241">
        <f t="shared" si="3"/>
        <v>-1</v>
      </c>
      <c r="AZ52" s="241">
        <v>30</v>
      </c>
      <c r="BA52" s="241">
        <v>43168</v>
      </c>
      <c r="BB52" s="241">
        <v>0</v>
      </c>
      <c r="BC52" s="241"/>
      <c r="BD52" s="241"/>
      <c r="BE52" s="241"/>
      <c r="BF52" s="241"/>
      <c r="BG52" s="241"/>
      <c r="BH52" s="241"/>
      <c r="BI52" s="241"/>
      <c r="BJ52" s="241"/>
      <c r="BK52" s="241"/>
      <c r="BL52" s="241"/>
      <c r="BM52" s="241"/>
      <c r="BN52" s="241"/>
      <c r="BO52" s="241"/>
      <c r="BP52" s="241"/>
      <c r="BQ52" s="241"/>
      <c r="BR52" s="243">
        <f t="shared" si="1"/>
        <v>-1541.7142857142858</v>
      </c>
      <c r="BS52" s="243">
        <f t="shared" si="2"/>
        <v>-1541.7142857142858</v>
      </c>
    </row>
    <row r="53" spans="1:71">
      <c r="A53" s="111">
        <v>2167</v>
      </c>
      <c r="B53" s="111" t="s">
        <v>68</v>
      </c>
      <c r="C53" s="241">
        <v>2</v>
      </c>
      <c r="D53" s="241">
        <v>43154</v>
      </c>
      <c r="E53" s="241">
        <v>43180</v>
      </c>
      <c r="F53" s="241"/>
      <c r="G53" s="241"/>
      <c r="H53" s="241"/>
      <c r="I53" s="241"/>
      <c r="J53" s="241"/>
      <c r="K53" s="241"/>
      <c r="L53" s="241"/>
      <c r="M53" s="241">
        <v>1154.7</v>
      </c>
      <c r="N53" s="241">
        <v>1243.0999999999999</v>
      </c>
      <c r="O53" s="241"/>
      <c r="P53" s="241"/>
      <c r="Q53" s="241"/>
      <c r="R53" s="241"/>
      <c r="S53" s="241"/>
      <c r="T53" s="241"/>
      <c r="U53" s="241"/>
      <c r="V53" s="241">
        <v>2.13</v>
      </c>
      <c r="W53" s="241">
        <v>2.19</v>
      </c>
      <c r="X53" s="241"/>
      <c r="Y53" s="241"/>
      <c r="Z53" s="241"/>
      <c r="AA53" s="241"/>
      <c r="AB53" s="241"/>
      <c r="AC53" s="241"/>
      <c r="AD53" s="241"/>
      <c r="AE53" s="241">
        <v>57.76</v>
      </c>
      <c r="AF53" s="241">
        <v>34.89</v>
      </c>
      <c r="AG53" s="241"/>
      <c r="AH53" s="241"/>
      <c r="AI53" s="241"/>
      <c r="AJ53" s="241"/>
      <c r="AK53" s="241"/>
      <c r="AL53" s="241"/>
      <c r="AM53" s="241"/>
      <c r="AN53" s="241">
        <v>1075.9000000000001</v>
      </c>
      <c r="AO53" s="241">
        <v>1156.23</v>
      </c>
      <c r="AP53" s="241"/>
      <c r="AQ53" s="241"/>
      <c r="AR53" s="241"/>
      <c r="AS53" s="241"/>
      <c r="AT53" s="241"/>
      <c r="AU53" s="241"/>
      <c r="AV53" s="241"/>
      <c r="AW53" s="241">
        <v>33</v>
      </c>
      <c r="AX53" s="241">
        <v>43125</v>
      </c>
      <c r="AY53" s="241">
        <f t="shared" si="3"/>
        <v>-1</v>
      </c>
      <c r="AZ53" s="241">
        <v>32</v>
      </c>
      <c r="BA53" s="241">
        <v>43153</v>
      </c>
      <c r="BB53" s="241">
        <v>0</v>
      </c>
      <c r="BC53" s="241"/>
      <c r="BD53" s="241"/>
      <c r="BE53" s="241"/>
      <c r="BF53" s="241"/>
      <c r="BG53" s="241"/>
      <c r="BH53" s="241"/>
      <c r="BI53" s="241"/>
      <c r="BJ53" s="241"/>
      <c r="BK53" s="241"/>
      <c r="BL53" s="241"/>
      <c r="BM53" s="241"/>
      <c r="BN53" s="241"/>
      <c r="BO53" s="241"/>
      <c r="BP53" s="241"/>
      <c r="BQ53" s="241"/>
      <c r="BR53" s="243">
        <f t="shared" si="1"/>
        <v>-1541.1785714285713</v>
      </c>
      <c r="BS53" s="243">
        <f t="shared" si="2"/>
        <v>-1541.1785714285713</v>
      </c>
    </row>
    <row r="54" spans="1:71">
      <c r="A54" s="111">
        <v>2190</v>
      </c>
      <c r="B54" s="111" t="s">
        <v>66</v>
      </c>
      <c r="C54" s="241">
        <v>2</v>
      </c>
      <c r="D54" s="241">
        <v>43189</v>
      </c>
      <c r="E54" s="241">
        <v>43215</v>
      </c>
      <c r="F54" s="241"/>
      <c r="G54" s="241"/>
      <c r="H54" s="241"/>
      <c r="I54" s="241"/>
      <c r="J54" s="241"/>
      <c r="K54" s="241"/>
      <c r="L54" s="241"/>
      <c r="M54" s="241">
        <v>1278.7</v>
      </c>
      <c r="N54" s="241">
        <v>1722.5</v>
      </c>
      <c r="O54" s="241"/>
      <c r="P54" s="241"/>
      <c r="Q54" s="241"/>
      <c r="R54" s="241"/>
      <c r="S54" s="241"/>
      <c r="T54" s="241"/>
      <c r="U54" s="241"/>
      <c r="V54" s="241">
        <v>2.46</v>
      </c>
      <c r="W54" s="241">
        <v>3.75</v>
      </c>
      <c r="X54" s="241"/>
      <c r="Y54" s="241"/>
      <c r="Z54" s="241"/>
      <c r="AA54" s="241"/>
      <c r="AB54" s="241"/>
      <c r="AC54" s="241"/>
      <c r="AD54" s="241"/>
      <c r="AE54" s="241">
        <v>32.06</v>
      </c>
      <c r="AF54" s="241">
        <v>50.15</v>
      </c>
      <c r="AG54" s="241"/>
      <c r="AH54" s="241"/>
      <c r="AI54" s="241"/>
      <c r="AJ54" s="241"/>
      <c r="AK54" s="241"/>
      <c r="AL54" s="241"/>
      <c r="AM54" s="241"/>
      <c r="AN54" s="241">
        <v>1017.73</v>
      </c>
      <c r="AO54" s="241">
        <v>642.55999999999995</v>
      </c>
      <c r="AP54" s="241"/>
      <c r="AQ54" s="241"/>
      <c r="AR54" s="241"/>
      <c r="AS54" s="241"/>
      <c r="AT54" s="241"/>
      <c r="AU54" s="241"/>
      <c r="AV54" s="241"/>
      <c r="AW54" s="241">
        <v>38</v>
      </c>
      <c r="AX54" s="241">
        <v>43161</v>
      </c>
      <c r="AY54" s="241">
        <f t="shared" si="3"/>
        <v>-1</v>
      </c>
      <c r="AZ54" s="241">
        <v>37</v>
      </c>
      <c r="BA54" s="241">
        <v>43189</v>
      </c>
      <c r="BB54" s="241">
        <v>0</v>
      </c>
      <c r="BC54" s="241"/>
      <c r="BD54" s="241"/>
      <c r="BE54" s="241"/>
      <c r="BF54" s="241"/>
      <c r="BG54" s="241"/>
      <c r="BH54" s="241"/>
      <c r="BI54" s="241"/>
      <c r="BJ54" s="241"/>
      <c r="BK54" s="241"/>
      <c r="BL54" s="241"/>
      <c r="BM54" s="241"/>
      <c r="BN54" s="241"/>
      <c r="BO54" s="241"/>
      <c r="BP54" s="241"/>
      <c r="BQ54" s="241"/>
      <c r="BR54" s="243">
        <f t="shared" si="1"/>
        <v>-1542.4642857142858</v>
      </c>
      <c r="BS54" s="243">
        <f t="shared" si="2"/>
        <v>-1542.4642857142858</v>
      </c>
    </row>
    <row r="55" spans="1:71">
      <c r="A55" s="111">
        <v>2223</v>
      </c>
      <c r="B55" s="111" t="s">
        <v>65</v>
      </c>
      <c r="C55" s="241">
        <v>2</v>
      </c>
      <c r="D55" s="241">
        <v>43224</v>
      </c>
      <c r="E55" s="241">
        <v>43250</v>
      </c>
      <c r="F55" s="241"/>
      <c r="G55" s="241"/>
      <c r="H55" s="241"/>
      <c r="I55" s="241"/>
      <c r="J55" s="241"/>
      <c r="K55" s="241"/>
      <c r="L55" s="241"/>
      <c r="M55" s="241">
        <v>915.69999999999993</v>
      </c>
      <c r="N55" s="241">
        <v>1225.9000000000001</v>
      </c>
      <c r="O55" s="241"/>
      <c r="P55" s="241"/>
      <c r="Q55" s="241"/>
      <c r="R55" s="241"/>
      <c r="S55" s="241"/>
      <c r="T55" s="241"/>
      <c r="U55" s="241"/>
      <c r="V55" s="241">
        <v>1.7</v>
      </c>
      <c r="W55" s="241">
        <v>2.21</v>
      </c>
      <c r="X55" s="241"/>
      <c r="Y55" s="241"/>
      <c r="Z55" s="241"/>
      <c r="AA55" s="241"/>
      <c r="AB55" s="241"/>
      <c r="AC55" s="241"/>
      <c r="AD55" s="241"/>
      <c r="AE55" s="241">
        <v>32.15</v>
      </c>
      <c r="AF55" s="241">
        <v>32.14</v>
      </c>
      <c r="AG55" s="241"/>
      <c r="AH55" s="241"/>
      <c r="AI55" s="241"/>
      <c r="AJ55" s="241"/>
      <c r="AK55" s="241"/>
      <c r="AL55" s="241"/>
      <c r="AM55" s="241"/>
      <c r="AN55" s="241">
        <v>2882.34</v>
      </c>
      <c r="AO55" s="241">
        <v>932.1</v>
      </c>
      <c r="AP55" s="241"/>
      <c r="AQ55" s="241"/>
      <c r="AR55" s="241"/>
      <c r="AS55" s="241"/>
      <c r="AT55" s="241"/>
      <c r="AU55" s="241"/>
      <c r="AV55" s="241"/>
      <c r="AW55" s="241">
        <v>35</v>
      </c>
      <c r="AX55" s="241">
        <v>43194</v>
      </c>
      <c r="AY55" s="241">
        <f t="shared" si="3"/>
        <v>-1</v>
      </c>
      <c r="AZ55" s="241">
        <v>33</v>
      </c>
      <c r="BA55" s="241">
        <v>43224</v>
      </c>
      <c r="BB55" s="241">
        <v>0</v>
      </c>
      <c r="BC55" s="241"/>
      <c r="BD55" s="241"/>
      <c r="BE55" s="241"/>
      <c r="BF55" s="241"/>
      <c r="BG55" s="241"/>
      <c r="BH55" s="241"/>
      <c r="BI55" s="241"/>
      <c r="BJ55" s="241"/>
      <c r="BK55" s="241"/>
      <c r="BL55" s="241"/>
      <c r="BM55" s="241"/>
      <c r="BN55" s="241"/>
      <c r="BO55" s="241"/>
      <c r="BP55" s="241"/>
      <c r="BQ55" s="241"/>
      <c r="BR55" s="243">
        <f t="shared" si="1"/>
        <v>-1543.7142857142858</v>
      </c>
      <c r="BS55" s="243">
        <f t="shared" si="2"/>
        <v>-1543.7142857142858</v>
      </c>
    </row>
    <row r="56" spans="1:71">
      <c r="A56" s="111">
        <v>2131</v>
      </c>
      <c r="B56" s="111" t="s">
        <v>9</v>
      </c>
      <c r="C56" s="241">
        <v>6</v>
      </c>
      <c r="D56" s="241">
        <v>43097</v>
      </c>
      <c r="E56" s="241">
        <v>43123</v>
      </c>
      <c r="F56" s="241">
        <v>43300</v>
      </c>
      <c r="G56" s="241">
        <v>43326</v>
      </c>
      <c r="H56" s="241"/>
      <c r="I56" s="241"/>
      <c r="J56" s="241"/>
      <c r="K56" s="241"/>
      <c r="L56" s="241"/>
      <c r="M56" s="241">
        <v>1659.5</v>
      </c>
      <c r="N56" s="241">
        <v>2428.1</v>
      </c>
      <c r="O56" s="241">
        <v>1664.5</v>
      </c>
      <c r="P56" s="241">
        <v>2113.8999999999996</v>
      </c>
      <c r="Q56" s="241"/>
      <c r="R56" s="241"/>
      <c r="S56" s="241"/>
      <c r="T56" s="241"/>
      <c r="U56" s="241"/>
      <c r="V56" s="241">
        <v>5.0199999999999996</v>
      </c>
      <c r="W56" s="241">
        <v>4.1399999999999997</v>
      </c>
      <c r="X56" s="241">
        <v>3.24</v>
      </c>
      <c r="Y56" s="241">
        <v>13.27</v>
      </c>
      <c r="Z56" s="241"/>
      <c r="AA56" s="241"/>
      <c r="AB56" s="241"/>
      <c r="AC56" s="241"/>
      <c r="AD56" s="241"/>
      <c r="AE56" s="241">
        <v>68.510000000000005</v>
      </c>
      <c r="AF56" s="241">
        <v>45.89</v>
      </c>
      <c r="AG56" s="241">
        <v>79.08</v>
      </c>
      <c r="AH56" s="241">
        <v>36.65</v>
      </c>
      <c r="AI56" s="241"/>
      <c r="AJ56" s="241"/>
      <c r="AK56" s="241"/>
      <c r="AL56" s="241"/>
      <c r="AM56" s="241"/>
      <c r="AN56" s="241">
        <v>1257.49</v>
      </c>
      <c r="AO56" s="241">
        <v>1119.47</v>
      </c>
      <c r="AP56" s="241">
        <v>1159.5899999999999</v>
      </c>
      <c r="AQ56" s="241">
        <v>1154</v>
      </c>
      <c r="AR56" s="241"/>
      <c r="AS56" s="241"/>
      <c r="AT56" s="241"/>
      <c r="AU56" s="241"/>
      <c r="AV56" s="241"/>
      <c r="AW56" s="241">
        <v>35</v>
      </c>
      <c r="AX56" s="241">
        <v>43068</v>
      </c>
      <c r="AY56" s="241">
        <f t="shared" si="3"/>
        <v>-1</v>
      </c>
      <c r="AZ56" s="241">
        <v>32</v>
      </c>
      <c r="BA56" s="241">
        <v>43097</v>
      </c>
      <c r="BB56" s="241">
        <v>0</v>
      </c>
      <c r="BC56" s="241">
        <v>29</v>
      </c>
      <c r="BD56" s="241">
        <v>43258</v>
      </c>
      <c r="BE56" s="241">
        <v>5</v>
      </c>
      <c r="BF56" s="241">
        <v>24</v>
      </c>
      <c r="BG56" s="241">
        <v>43297</v>
      </c>
      <c r="BH56" s="241">
        <v>6</v>
      </c>
      <c r="BI56" s="241">
        <v>22</v>
      </c>
      <c r="BJ56" s="241">
        <v>43469</v>
      </c>
      <c r="BK56" s="241">
        <v>12</v>
      </c>
      <c r="BL56" s="241"/>
      <c r="BM56" s="241"/>
      <c r="BN56" s="241"/>
      <c r="BO56" s="241"/>
      <c r="BP56" s="241"/>
      <c r="BQ56" s="241"/>
      <c r="BR56" s="243">
        <f t="shared" si="1"/>
        <v>5.75</v>
      </c>
      <c r="BS56" s="243">
        <f t="shared" si="2"/>
        <v>7.1428571428571432</v>
      </c>
    </row>
    <row r="57" spans="1:71">
      <c r="A57" s="111">
        <v>2272</v>
      </c>
      <c r="B57" s="111" t="s">
        <v>11</v>
      </c>
      <c r="C57" s="241">
        <v>4</v>
      </c>
      <c r="D57" s="241">
        <v>43300</v>
      </c>
      <c r="E57" s="241">
        <v>43326</v>
      </c>
      <c r="F57" s="241">
        <v>43454</v>
      </c>
      <c r="G57" s="241">
        <v>43480</v>
      </c>
      <c r="H57" s="241"/>
      <c r="I57" s="241"/>
      <c r="J57" s="241"/>
      <c r="K57" s="241"/>
      <c r="L57" s="241"/>
      <c r="M57" s="241">
        <v>1426.1000000000001</v>
      </c>
      <c r="N57" s="241">
        <v>1923.7</v>
      </c>
      <c r="O57" s="241">
        <v>1531.3</v>
      </c>
      <c r="P57" s="241">
        <v>2315.6</v>
      </c>
      <c r="Q57" s="241"/>
      <c r="R57" s="241"/>
      <c r="S57" s="241"/>
      <c r="T57" s="241"/>
      <c r="U57" s="241"/>
      <c r="V57" s="241">
        <v>4.26</v>
      </c>
      <c r="W57" s="241">
        <v>5.34</v>
      </c>
      <c r="X57" s="241">
        <v>7.15</v>
      </c>
      <c r="Y57" s="241">
        <v>13.27</v>
      </c>
      <c r="Z57" s="241"/>
      <c r="AA57" s="241"/>
      <c r="AB57" s="241"/>
      <c r="AC57" s="241"/>
      <c r="AD57" s="241"/>
      <c r="AE57" s="241">
        <v>71.72</v>
      </c>
      <c r="AF57" s="241">
        <v>60.04</v>
      </c>
      <c r="AG57" s="241">
        <v>38.46</v>
      </c>
      <c r="AH57" s="241">
        <v>38.46</v>
      </c>
      <c r="AI57" s="241"/>
      <c r="AJ57" s="241"/>
      <c r="AK57" s="241"/>
      <c r="AL57" s="241"/>
      <c r="AM57" s="241"/>
      <c r="AN57" s="241">
        <v>1007.61</v>
      </c>
      <c r="AO57" s="241">
        <v>934.53</v>
      </c>
      <c r="AP57" s="241">
        <v>801.67</v>
      </c>
      <c r="AQ57" s="241">
        <v>637.16999999999996</v>
      </c>
      <c r="AR57" s="241"/>
      <c r="AS57" s="241"/>
      <c r="AT57" s="241"/>
      <c r="AU57" s="241"/>
      <c r="AV57" s="241"/>
      <c r="AW57" s="241">
        <v>46</v>
      </c>
      <c r="AX57" s="241">
        <v>43272</v>
      </c>
      <c r="AY57" s="241">
        <f t="shared" si="3"/>
        <v>-1</v>
      </c>
      <c r="AZ57" s="241">
        <v>46</v>
      </c>
      <c r="BA57" s="241">
        <v>43300</v>
      </c>
      <c r="BB57" s="241">
        <v>0</v>
      </c>
      <c r="BC57" s="241">
        <v>46</v>
      </c>
      <c r="BD57" s="241">
        <v>43426</v>
      </c>
      <c r="BE57" s="241">
        <v>4</v>
      </c>
      <c r="BF57" s="241">
        <v>45</v>
      </c>
      <c r="BG57" s="241">
        <v>43454</v>
      </c>
      <c r="BH57" s="241">
        <v>5</v>
      </c>
      <c r="BI57" s="241">
        <v>45</v>
      </c>
      <c r="BJ57" s="241">
        <v>43480</v>
      </c>
      <c r="BK57" s="241">
        <v>6</v>
      </c>
      <c r="BL57" s="241"/>
      <c r="BM57" s="241"/>
      <c r="BN57" s="241"/>
      <c r="BO57" s="241"/>
      <c r="BP57" s="241"/>
      <c r="BQ57" s="241"/>
      <c r="BR57" s="243">
        <f t="shared" si="1"/>
        <v>4.5</v>
      </c>
      <c r="BS57" s="243">
        <f t="shared" si="2"/>
        <v>5.5</v>
      </c>
    </row>
    <row r="58" spans="1:71">
      <c r="A58" s="111">
        <v>2288</v>
      </c>
      <c r="B58" s="111" t="s">
        <v>58</v>
      </c>
      <c r="C58" s="241">
        <v>2</v>
      </c>
      <c r="D58" s="241">
        <v>43322</v>
      </c>
      <c r="E58" s="241">
        <v>43348</v>
      </c>
      <c r="F58" s="241"/>
      <c r="G58" s="241"/>
      <c r="H58" s="241"/>
      <c r="I58" s="241"/>
      <c r="J58" s="241"/>
      <c r="K58" s="241"/>
      <c r="L58" s="241"/>
      <c r="M58" s="241">
        <v>1748.7</v>
      </c>
      <c r="N58" s="241">
        <v>2177.5</v>
      </c>
      <c r="O58" s="241"/>
      <c r="P58" s="241"/>
      <c r="Q58" s="241"/>
      <c r="R58" s="241"/>
      <c r="S58" s="241"/>
      <c r="T58" s="241"/>
      <c r="U58" s="241"/>
      <c r="V58" s="241">
        <v>2.21</v>
      </c>
      <c r="W58" s="241">
        <v>2.99</v>
      </c>
      <c r="X58" s="241"/>
      <c r="Y58" s="241"/>
      <c r="Z58" s="241"/>
      <c r="AA58" s="241"/>
      <c r="AB58" s="241"/>
      <c r="AC58" s="241"/>
      <c r="AD58" s="241"/>
      <c r="AE58" s="241">
        <v>45.16</v>
      </c>
      <c r="AF58" s="241">
        <v>59.3</v>
      </c>
      <c r="AG58" s="241"/>
      <c r="AH58" s="241"/>
      <c r="AI58" s="241"/>
      <c r="AJ58" s="241"/>
      <c r="AK58" s="241"/>
      <c r="AL58" s="241"/>
      <c r="AM58" s="241"/>
      <c r="AN58" s="241">
        <v>2256.33</v>
      </c>
      <c r="AO58" s="241">
        <v>1441.81</v>
      </c>
      <c r="AP58" s="241"/>
      <c r="AQ58" s="241"/>
      <c r="AR58" s="241"/>
      <c r="AS58" s="241"/>
      <c r="AT58" s="241"/>
      <c r="AU58" s="241"/>
      <c r="AV58" s="241"/>
      <c r="AW58" s="241">
        <v>43</v>
      </c>
      <c r="AX58" s="241">
        <v>43294</v>
      </c>
      <c r="AY58" s="241">
        <f t="shared" si="3"/>
        <v>-1</v>
      </c>
      <c r="AZ58" s="241">
        <v>43</v>
      </c>
      <c r="BA58" s="241">
        <v>43320</v>
      </c>
      <c r="BB58" s="241">
        <v>0</v>
      </c>
      <c r="BC58" s="241">
        <v>39</v>
      </c>
      <c r="BD58" s="241">
        <v>43689</v>
      </c>
      <c r="BE58" s="241">
        <v>12</v>
      </c>
      <c r="BF58" s="241"/>
      <c r="BG58" s="241"/>
      <c r="BH58" s="241"/>
      <c r="BI58" s="241"/>
      <c r="BJ58" s="241"/>
      <c r="BK58" s="241"/>
      <c r="BL58" s="241"/>
      <c r="BM58" s="241"/>
      <c r="BN58" s="241"/>
      <c r="BO58" s="241"/>
      <c r="BP58" s="241"/>
      <c r="BQ58" s="241"/>
      <c r="BR58" s="243">
        <f t="shared" si="1"/>
        <v>13.178571428571429</v>
      </c>
      <c r="BS58" s="243">
        <f t="shared" si="2"/>
        <v>-1547.1428571428571</v>
      </c>
    </row>
    <row r="59" spans="1:71">
      <c r="A59" s="111">
        <v>2334</v>
      </c>
      <c r="B59" s="111" t="s">
        <v>81</v>
      </c>
      <c r="C59" s="241">
        <v>2</v>
      </c>
      <c r="D59" s="241">
        <v>43385</v>
      </c>
      <c r="E59" s="241">
        <v>43613</v>
      </c>
      <c r="F59" s="241"/>
      <c r="G59" s="241"/>
      <c r="H59" s="241"/>
      <c r="I59" s="241"/>
      <c r="J59" s="241"/>
      <c r="K59" s="241"/>
      <c r="L59" s="241"/>
      <c r="M59" s="241">
        <v>853.8</v>
      </c>
      <c r="N59" s="241">
        <v>1668.1999999999998</v>
      </c>
      <c r="O59" s="241"/>
      <c r="P59" s="241"/>
      <c r="Q59" s="241"/>
      <c r="R59" s="241"/>
      <c r="S59" s="241"/>
      <c r="T59" s="241"/>
      <c r="U59" s="241"/>
      <c r="V59" s="241">
        <v>2.1</v>
      </c>
      <c r="W59" s="241">
        <v>4.67</v>
      </c>
      <c r="X59" s="241"/>
      <c r="Y59" s="241"/>
      <c r="Z59" s="241"/>
      <c r="AA59" s="241"/>
      <c r="AB59" s="241"/>
      <c r="AC59" s="241"/>
      <c r="AD59" s="241"/>
      <c r="AE59" s="241">
        <v>58.98</v>
      </c>
      <c r="AF59" s="241">
        <v>88.28</v>
      </c>
      <c r="AG59" s="241"/>
      <c r="AH59" s="241"/>
      <c r="AI59" s="241"/>
      <c r="AJ59" s="241"/>
      <c r="AK59" s="241"/>
      <c r="AL59" s="241"/>
      <c r="AM59" s="241"/>
      <c r="AN59" s="241">
        <v>954.41</v>
      </c>
      <c r="AO59" s="241">
        <v>831.47</v>
      </c>
      <c r="AP59" s="241"/>
      <c r="AQ59" s="241"/>
      <c r="AR59" s="241"/>
      <c r="AS59" s="241"/>
      <c r="AT59" s="241"/>
      <c r="AU59" s="241"/>
      <c r="AV59" s="241"/>
      <c r="AW59" s="241">
        <v>34</v>
      </c>
      <c r="AX59" s="241">
        <v>43356</v>
      </c>
      <c r="AY59" s="241">
        <f t="shared" si="3"/>
        <v>-1</v>
      </c>
      <c r="AZ59" s="241">
        <v>33</v>
      </c>
      <c r="BA59" s="241">
        <v>43383</v>
      </c>
      <c r="BB59" s="241">
        <v>0</v>
      </c>
      <c r="BC59" s="241">
        <v>29</v>
      </c>
      <c r="BD59" s="241">
        <v>43586</v>
      </c>
      <c r="BE59" s="241">
        <v>7</v>
      </c>
      <c r="BF59" s="241">
        <v>22</v>
      </c>
      <c r="BG59" s="241">
        <v>43837</v>
      </c>
      <c r="BH59" s="241">
        <v>15</v>
      </c>
      <c r="BI59" s="241"/>
      <c r="BJ59" s="241"/>
      <c r="BK59" s="241"/>
      <c r="BL59" s="241"/>
      <c r="BM59" s="241"/>
      <c r="BN59" s="241"/>
      <c r="BO59" s="241"/>
      <c r="BP59" s="241"/>
      <c r="BQ59" s="241"/>
      <c r="BR59" s="243">
        <f t="shared" si="1"/>
        <v>7.25</v>
      </c>
      <c r="BS59" s="243">
        <f t="shared" si="2"/>
        <v>16.214285714285715</v>
      </c>
    </row>
    <row r="60" spans="1:71">
      <c r="A60" s="111">
        <v>2335</v>
      </c>
      <c r="B60" s="111" t="s">
        <v>10</v>
      </c>
      <c r="C60" s="241">
        <v>4</v>
      </c>
      <c r="D60" s="241">
        <v>43385</v>
      </c>
      <c r="E60" s="241">
        <v>43411</v>
      </c>
      <c r="F60" s="241">
        <v>43559</v>
      </c>
      <c r="G60" s="241">
        <v>43595</v>
      </c>
      <c r="H60" s="241"/>
      <c r="I60" s="241"/>
      <c r="J60" s="241"/>
      <c r="K60" s="241"/>
      <c r="L60" s="241"/>
      <c r="M60" s="241">
        <v>924.80000000000007</v>
      </c>
      <c r="N60" s="241">
        <v>1744.6000000000001</v>
      </c>
      <c r="O60" s="241">
        <v>1128.8</v>
      </c>
      <c r="P60" s="241">
        <v>2232</v>
      </c>
      <c r="Q60" s="241"/>
      <c r="R60" s="241"/>
      <c r="S60" s="241"/>
      <c r="T60" s="241"/>
      <c r="U60" s="241"/>
      <c r="V60" s="241">
        <v>3.3000000000000003</v>
      </c>
      <c r="W60" s="241">
        <v>4.2</v>
      </c>
      <c r="X60" s="241">
        <v>2.15</v>
      </c>
      <c r="Y60" s="241">
        <v>30</v>
      </c>
      <c r="Z60" s="241"/>
      <c r="AA60" s="241"/>
      <c r="AB60" s="241"/>
      <c r="AC60" s="241"/>
      <c r="AD60" s="241"/>
      <c r="AE60" s="241">
        <v>37.14</v>
      </c>
      <c r="AF60" s="241">
        <v>42.78</v>
      </c>
      <c r="AG60" s="241">
        <v>29.4</v>
      </c>
      <c r="AH60" s="241">
        <v>66.069999999999993</v>
      </c>
      <c r="AI60" s="241"/>
      <c r="AJ60" s="241"/>
      <c r="AK60" s="241"/>
      <c r="AL60" s="241"/>
      <c r="AM60" s="241"/>
      <c r="AN60" s="241">
        <v>1263.81</v>
      </c>
      <c r="AO60" s="241">
        <v>731.05</v>
      </c>
      <c r="AP60" s="241">
        <v>1079.76</v>
      </c>
      <c r="AQ60" s="241">
        <v>771.38</v>
      </c>
      <c r="AR60" s="241"/>
      <c r="AS60" s="241"/>
      <c r="AT60" s="241"/>
      <c r="AU60" s="241"/>
      <c r="AV60" s="241"/>
      <c r="AW60" s="241">
        <v>41</v>
      </c>
      <c r="AX60" s="241">
        <v>43356</v>
      </c>
      <c r="AY60" s="241">
        <f t="shared" si="3"/>
        <v>-1</v>
      </c>
      <c r="AZ60" s="241">
        <v>39</v>
      </c>
      <c r="BA60" s="241">
        <v>43383</v>
      </c>
      <c r="BB60" s="241">
        <v>0</v>
      </c>
      <c r="BC60" s="241">
        <v>38</v>
      </c>
      <c r="BD60" s="241">
        <v>43531</v>
      </c>
      <c r="BE60" s="241">
        <v>5</v>
      </c>
      <c r="BF60" s="241">
        <v>37</v>
      </c>
      <c r="BG60" s="241">
        <v>43567</v>
      </c>
      <c r="BH60" s="241">
        <v>6</v>
      </c>
      <c r="BI60" s="241">
        <v>36</v>
      </c>
      <c r="BJ60" s="241">
        <v>43595</v>
      </c>
      <c r="BK60" s="241">
        <v>7</v>
      </c>
      <c r="BL60" s="241">
        <v>29</v>
      </c>
      <c r="BM60" s="241">
        <v>43829</v>
      </c>
      <c r="BN60" s="241">
        <v>15</v>
      </c>
      <c r="BO60" s="241"/>
      <c r="BP60" s="241"/>
      <c r="BQ60" s="241"/>
      <c r="BR60" s="243">
        <f t="shared" si="1"/>
        <v>5.2857142857142856</v>
      </c>
      <c r="BS60" s="243">
        <f t="shared" si="2"/>
        <v>6.5714285714285712</v>
      </c>
    </row>
    <row r="61" spans="1:71">
      <c r="A61" s="111">
        <v>2339</v>
      </c>
      <c r="B61" s="111" t="s">
        <v>64</v>
      </c>
      <c r="C61" s="241">
        <v>2</v>
      </c>
      <c r="D61" s="241">
        <v>43392</v>
      </c>
      <c r="E61" s="241">
        <v>43418</v>
      </c>
      <c r="F61" s="241"/>
      <c r="G61" s="241"/>
      <c r="H61" s="241"/>
      <c r="I61" s="241"/>
      <c r="J61" s="241"/>
      <c r="K61" s="241"/>
      <c r="L61" s="241"/>
      <c r="M61" s="241">
        <v>1213.0999999999999</v>
      </c>
      <c r="N61" s="241">
        <v>1475.1</v>
      </c>
      <c r="O61" s="241"/>
      <c r="P61" s="241"/>
      <c r="Q61" s="241"/>
      <c r="R61" s="241"/>
      <c r="S61" s="241"/>
      <c r="T61" s="241"/>
      <c r="U61" s="241"/>
      <c r="V61" s="241">
        <v>1.57</v>
      </c>
      <c r="W61" s="241">
        <v>1.83</v>
      </c>
      <c r="X61" s="241"/>
      <c r="Y61" s="241"/>
      <c r="Z61" s="241"/>
      <c r="AA61" s="241"/>
      <c r="AB61" s="241"/>
      <c r="AC61" s="241"/>
      <c r="AD61" s="241"/>
      <c r="AE61" s="241">
        <v>24.1</v>
      </c>
      <c r="AF61" s="241">
        <v>30.77</v>
      </c>
      <c r="AG61" s="241"/>
      <c r="AH61" s="241"/>
      <c r="AI61" s="241"/>
      <c r="AJ61" s="241"/>
      <c r="AK61" s="241"/>
      <c r="AL61" s="241"/>
      <c r="AM61" s="241"/>
      <c r="AN61" s="241">
        <v>977.88</v>
      </c>
      <c r="AO61" s="241">
        <v>754.02</v>
      </c>
      <c r="AP61" s="241"/>
      <c r="AQ61" s="241"/>
      <c r="AR61" s="241"/>
      <c r="AS61" s="241"/>
      <c r="AT61" s="241"/>
      <c r="AU61" s="241"/>
      <c r="AV61" s="241"/>
      <c r="AW61" s="241">
        <v>42</v>
      </c>
      <c r="AX61" s="241">
        <v>43364</v>
      </c>
      <c r="AY61" s="241">
        <f t="shared" si="3"/>
        <v>-1</v>
      </c>
      <c r="AZ61" s="241">
        <v>42</v>
      </c>
      <c r="BA61" s="241">
        <v>43392</v>
      </c>
      <c r="BB61" s="241">
        <v>0</v>
      </c>
      <c r="BC61" s="241"/>
      <c r="BD61" s="241"/>
      <c r="BE61" s="241"/>
      <c r="BF61" s="241"/>
      <c r="BG61" s="241"/>
      <c r="BH61" s="241"/>
      <c r="BI61" s="241"/>
      <c r="BJ61" s="241"/>
      <c r="BK61" s="241"/>
      <c r="BL61" s="241"/>
      <c r="BM61" s="241"/>
      <c r="BN61" s="241"/>
      <c r="BO61" s="241"/>
      <c r="BP61" s="241"/>
      <c r="BQ61" s="241"/>
      <c r="BR61" s="243">
        <f t="shared" si="1"/>
        <v>-1549.7142857142858</v>
      </c>
      <c r="BS61" s="243">
        <f t="shared" si="2"/>
        <v>-1549.7142857142858</v>
      </c>
    </row>
    <row r="62" spans="1:71">
      <c r="A62" s="111">
        <v>2103</v>
      </c>
      <c r="B62" s="111" t="s">
        <v>13</v>
      </c>
      <c r="C62" s="241">
        <v>4</v>
      </c>
      <c r="D62" s="241">
        <v>43119</v>
      </c>
      <c r="E62" s="241">
        <v>43145</v>
      </c>
      <c r="F62" s="241">
        <v>43699</v>
      </c>
      <c r="G62" s="241">
        <v>43817</v>
      </c>
      <c r="H62" s="241"/>
      <c r="I62" s="241"/>
      <c r="J62" s="241"/>
      <c r="K62" s="241"/>
      <c r="L62" s="241"/>
      <c r="M62" s="241">
        <v>1593</v>
      </c>
      <c r="N62" s="241">
        <v>2936.7000000000003</v>
      </c>
      <c r="O62" s="241">
        <v>1209.2</v>
      </c>
      <c r="P62" s="241">
        <v>294.3</v>
      </c>
      <c r="Q62" s="241"/>
      <c r="R62" s="241"/>
      <c r="S62" s="241"/>
      <c r="T62" s="241"/>
      <c r="U62" s="241"/>
      <c r="V62" s="241">
        <v>1.825</v>
      </c>
      <c r="W62" s="241">
        <v>13.600000000000001</v>
      </c>
      <c r="X62" s="241">
        <v>1.375</v>
      </c>
      <c r="Y62" s="241">
        <v>0</v>
      </c>
      <c r="Z62" s="241"/>
      <c r="AA62" s="241"/>
      <c r="AB62" s="241"/>
      <c r="AC62" s="241"/>
      <c r="AD62" s="241"/>
      <c r="AE62" s="241">
        <v>30.85</v>
      </c>
      <c r="AF62" s="241">
        <v>45.62</v>
      </c>
      <c r="AG62" s="241">
        <v>26.65</v>
      </c>
      <c r="AH62" s="241">
        <v>17.3</v>
      </c>
      <c r="AI62" s="241"/>
      <c r="AJ62" s="241"/>
      <c r="AK62" s="241"/>
      <c r="AL62" s="241"/>
      <c r="AM62" s="241"/>
      <c r="AN62" s="241">
        <v>829.95</v>
      </c>
      <c r="AO62" s="241">
        <v>578.34</v>
      </c>
      <c r="AP62" s="241">
        <v>277.41000000000003</v>
      </c>
      <c r="AQ62" s="241">
        <v>801.16</v>
      </c>
      <c r="AR62" s="241"/>
      <c r="AS62" s="241"/>
      <c r="AT62" s="241"/>
      <c r="AU62" s="241"/>
      <c r="AV62" s="241"/>
      <c r="AW62" s="241">
        <v>47</v>
      </c>
      <c r="AX62" s="241">
        <v>43035</v>
      </c>
      <c r="AY62" s="241">
        <f t="shared" si="3"/>
        <v>-3</v>
      </c>
      <c r="AZ62" s="241">
        <v>47</v>
      </c>
      <c r="BA62" s="241">
        <v>43119</v>
      </c>
      <c r="BB62" s="241">
        <v>0</v>
      </c>
      <c r="BC62" s="241">
        <v>42</v>
      </c>
      <c r="BD62" s="241">
        <v>43395</v>
      </c>
      <c r="BE62" s="241">
        <v>9</v>
      </c>
      <c r="BF62" s="241">
        <v>40</v>
      </c>
      <c r="BG62" s="241">
        <v>43556</v>
      </c>
      <c r="BH62" s="241">
        <v>15</v>
      </c>
      <c r="BI62" s="241">
        <v>36</v>
      </c>
      <c r="BJ62" s="241">
        <v>43699</v>
      </c>
      <c r="BK62" s="241">
        <v>19</v>
      </c>
      <c r="BL62" s="241">
        <v>33</v>
      </c>
      <c r="BM62" s="241">
        <v>43850</v>
      </c>
      <c r="BN62" s="241">
        <v>24</v>
      </c>
      <c r="BO62" s="241">
        <v>31</v>
      </c>
      <c r="BP62" s="241">
        <v>43934</v>
      </c>
      <c r="BQ62" s="241">
        <v>27</v>
      </c>
      <c r="BR62" s="243">
        <f t="shared" si="1"/>
        <v>9.8571428571428577</v>
      </c>
      <c r="BS62" s="243">
        <f t="shared" si="2"/>
        <v>15.607142857142858</v>
      </c>
    </row>
    <row r="63" spans="1:71">
      <c r="A63" s="111">
        <v>2364</v>
      </c>
      <c r="B63" s="111" t="s">
        <v>63</v>
      </c>
      <c r="C63" s="241">
        <v>2</v>
      </c>
      <c r="D63" s="241">
        <v>43427</v>
      </c>
      <c r="E63" s="241">
        <v>43453</v>
      </c>
      <c r="F63" s="241"/>
      <c r="G63" s="241"/>
      <c r="H63" s="241"/>
      <c r="I63" s="241"/>
      <c r="J63" s="241"/>
      <c r="K63" s="241"/>
      <c r="L63" s="241"/>
      <c r="M63" s="241">
        <v>850.19999999999993</v>
      </c>
      <c r="N63" s="241">
        <v>1626.5</v>
      </c>
      <c r="O63" s="241"/>
      <c r="P63" s="241"/>
      <c r="Q63" s="241"/>
      <c r="R63" s="241"/>
      <c r="S63" s="241"/>
      <c r="T63" s="241"/>
      <c r="U63" s="241"/>
      <c r="V63" s="241">
        <v>1.38</v>
      </c>
      <c r="W63" s="241">
        <v>2.4700000000000002</v>
      </c>
      <c r="X63" s="241"/>
      <c r="Y63" s="241"/>
      <c r="Z63" s="241"/>
      <c r="AA63" s="241"/>
      <c r="AB63" s="241"/>
      <c r="AC63" s="241"/>
      <c r="AD63" s="241"/>
      <c r="AE63" s="241">
        <v>21.98</v>
      </c>
      <c r="AF63" s="241">
        <v>41.06</v>
      </c>
      <c r="AG63" s="241"/>
      <c r="AH63" s="241"/>
      <c r="AI63" s="241"/>
      <c r="AJ63" s="241"/>
      <c r="AK63" s="241"/>
      <c r="AL63" s="241"/>
      <c r="AM63" s="241"/>
      <c r="AN63" s="241">
        <v>779.06</v>
      </c>
      <c r="AO63" s="241">
        <v>255.42</v>
      </c>
      <c r="AP63" s="241"/>
      <c r="AQ63" s="241"/>
      <c r="AR63" s="241"/>
      <c r="AS63" s="241"/>
      <c r="AT63" s="241"/>
      <c r="AU63" s="241"/>
      <c r="AV63" s="241"/>
      <c r="AW63" s="241">
        <v>14</v>
      </c>
      <c r="AX63" s="241">
        <v>43398</v>
      </c>
      <c r="AY63" s="241">
        <f t="shared" si="3"/>
        <v>-1</v>
      </c>
      <c r="AZ63" s="241">
        <v>13</v>
      </c>
      <c r="BA63" s="241">
        <v>43427</v>
      </c>
      <c r="BB63" s="241">
        <v>0</v>
      </c>
      <c r="BC63" s="241"/>
      <c r="BD63" s="241"/>
      <c r="BE63" s="241"/>
      <c r="BF63" s="241"/>
      <c r="BG63" s="241"/>
      <c r="BH63" s="241"/>
      <c r="BI63" s="241"/>
      <c r="BJ63" s="241"/>
      <c r="BK63" s="241"/>
      <c r="BL63" s="241"/>
      <c r="BM63" s="241"/>
      <c r="BN63" s="241"/>
      <c r="BO63" s="241"/>
      <c r="BP63" s="241"/>
      <c r="BQ63" s="241"/>
      <c r="BR63" s="243">
        <f t="shared" si="1"/>
        <v>-1550.9642857142858</v>
      </c>
      <c r="BS63" s="243">
        <f t="shared" si="2"/>
        <v>-1550.9642857142858</v>
      </c>
    </row>
    <row r="64" spans="1:71">
      <c r="A64" s="111">
        <v>2383</v>
      </c>
      <c r="B64" s="111" t="s">
        <v>12</v>
      </c>
      <c r="C64" s="241">
        <v>4</v>
      </c>
      <c r="D64" s="241">
        <v>43454</v>
      </c>
      <c r="E64" s="241">
        <v>43480</v>
      </c>
      <c r="F64" s="241">
        <v>43707</v>
      </c>
      <c r="G64" s="241">
        <v>43746</v>
      </c>
      <c r="H64" s="241"/>
      <c r="I64" s="241"/>
      <c r="J64" s="241"/>
      <c r="K64" s="241"/>
      <c r="L64" s="241"/>
      <c r="M64" s="241">
        <v>555.1</v>
      </c>
      <c r="N64" s="241">
        <v>4999</v>
      </c>
      <c r="O64" s="241">
        <v>1272.0999999999999</v>
      </c>
      <c r="P64" s="241">
        <v>1635.9</v>
      </c>
      <c r="Q64" s="241"/>
      <c r="R64" s="241"/>
      <c r="S64" s="241"/>
      <c r="T64" s="241"/>
      <c r="U64" s="241">
        <f>STDEV(V59:V127)</f>
        <v>2.4834401543020932</v>
      </c>
      <c r="V64" s="241">
        <v>2.15</v>
      </c>
      <c r="W64" s="241">
        <v>28.900000000000002</v>
      </c>
      <c r="X64" s="241">
        <v>1.9</v>
      </c>
      <c r="Y64" s="241">
        <v>8.2249999999999996</v>
      </c>
      <c r="Z64" s="241"/>
      <c r="AA64" s="241"/>
      <c r="AB64" s="241"/>
      <c r="AC64" s="241"/>
      <c r="AD64" s="241">
        <f>STDEV(AE59:AE127)</f>
        <v>19.734825537612441</v>
      </c>
      <c r="AE64" s="241">
        <v>35.119999999999997</v>
      </c>
      <c r="AF64" s="241">
        <v>157.83000000000001</v>
      </c>
      <c r="AG64" s="241">
        <v>30.54</v>
      </c>
      <c r="AH64" s="241">
        <v>55.24</v>
      </c>
      <c r="AI64" s="241"/>
      <c r="AJ64" s="241"/>
      <c r="AK64" s="241"/>
      <c r="AL64" s="241"/>
      <c r="AM64" s="241">
        <f>STDEV(AN59:AN127)</f>
        <v>432.38673188786413</v>
      </c>
      <c r="AN64" s="241">
        <v>870.65</v>
      </c>
      <c r="AO64" s="241">
        <v>1990.28</v>
      </c>
      <c r="AP64" s="241">
        <v>1475.54</v>
      </c>
      <c r="AQ64" s="241">
        <v>523.08000000000004</v>
      </c>
      <c r="AR64" s="241"/>
      <c r="AS64" s="241"/>
      <c r="AT64" s="241"/>
      <c r="AU64" s="241"/>
      <c r="AV64" s="241"/>
      <c r="AW64" s="241">
        <v>43</v>
      </c>
      <c r="AX64" s="241">
        <v>43426</v>
      </c>
      <c r="AY64" s="241">
        <f t="shared" si="3"/>
        <v>-1</v>
      </c>
      <c r="AZ64" s="241">
        <v>43</v>
      </c>
      <c r="BA64" s="241">
        <v>43454</v>
      </c>
      <c r="BB64" s="241">
        <v>0</v>
      </c>
      <c r="BC64" s="241">
        <v>43</v>
      </c>
      <c r="BD64" s="241">
        <v>43480</v>
      </c>
      <c r="BE64" s="241">
        <v>1</v>
      </c>
      <c r="BF64" s="241">
        <v>39</v>
      </c>
      <c r="BG64" s="241">
        <v>43707</v>
      </c>
      <c r="BH64" s="241">
        <v>8</v>
      </c>
      <c r="BI64" s="241">
        <v>39</v>
      </c>
      <c r="BJ64" s="241">
        <v>43756</v>
      </c>
      <c r="BK64" s="241">
        <v>10</v>
      </c>
      <c r="BL64" s="241"/>
      <c r="BM64" s="241"/>
      <c r="BN64" s="241"/>
      <c r="BO64" s="241"/>
      <c r="BP64" s="241"/>
      <c r="BQ64" s="241"/>
      <c r="BR64" s="243">
        <f t="shared" si="1"/>
        <v>0.9285714285714286</v>
      </c>
      <c r="BS64" s="243">
        <f t="shared" si="2"/>
        <v>9.0357142857142865</v>
      </c>
    </row>
    <row r="65" spans="1:71">
      <c r="A65" s="111">
        <v>2384</v>
      </c>
      <c r="B65" s="111" t="s">
        <v>59</v>
      </c>
      <c r="C65" s="241">
        <v>2</v>
      </c>
      <c r="D65" s="241">
        <v>43455</v>
      </c>
      <c r="E65" s="241">
        <v>43481</v>
      </c>
      <c r="F65" s="241"/>
      <c r="G65" s="241"/>
      <c r="H65" s="241"/>
      <c r="I65" s="241"/>
      <c r="J65" s="241"/>
      <c r="K65" s="241"/>
      <c r="L65" s="241"/>
      <c r="M65" s="241">
        <v>1169</v>
      </c>
      <c r="N65" s="241">
        <v>1839.5</v>
      </c>
      <c r="O65" s="241"/>
      <c r="P65" s="241"/>
      <c r="Q65" s="241"/>
      <c r="R65" s="241"/>
      <c r="S65" s="241"/>
      <c r="T65" s="241"/>
      <c r="U65" s="241"/>
      <c r="V65" s="241">
        <v>1.96</v>
      </c>
      <c r="W65" s="241">
        <v>5.04</v>
      </c>
      <c r="X65" s="241"/>
      <c r="Y65" s="241"/>
      <c r="Z65" s="241"/>
      <c r="AA65" s="241"/>
      <c r="AB65" s="241"/>
      <c r="AC65" s="241"/>
      <c r="AD65" s="241"/>
      <c r="AE65" s="241">
        <v>47.33</v>
      </c>
      <c r="AF65" s="241">
        <v>68.900000000000006</v>
      </c>
      <c r="AG65" s="241"/>
      <c r="AH65" s="241"/>
      <c r="AI65" s="241"/>
      <c r="AJ65" s="241"/>
      <c r="AK65" s="241"/>
      <c r="AL65" s="241"/>
      <c r="AM65" s="241"/>
      <c r="AN65" s="241">
        <v>854.02</v>
      </c>
      <c r="AO65" s="241">
        <v>1220.49</v>
      </c>
      <c r="AP65" s="241"/>
      <c r="AQ65" s="241"/>
      <c r="AR65" s="241"/>
      <c r="AS65" s="241"/>
      <c r="AT65" s="241"/>
      <c r="AU65" s="241"/>
      <c r="AV65" s="241"/>
      <c r="AW65" s="241">
        <v>33</v>
      </c>
      <c r="AX65" s="241">
        <v>43427</v>
      </c>
      <c r="AY65" s="241">
        <f t="shared" si="3"/>
        <v>-1</v>
      </c>
      <c r="AZ65" s="241">
        <v>33</v>
      </c>
      <c r="BA65" s="241">
        <v>43455</v>
      </c>
      <c r="BB65" s="241">
        <v>0</v>
      </c>
      <c r="BC65" s="241">
        <v>32</v>
      </c>
      <c r="BD65" s="241">
        <v>43481</v>
      </c>
      <c r="BE65" s="241"/>
      <c r="BF65" s="241">
        <v>22</v>
      </c>
      <c r="BG65" s="241">
        <v>43870</v>
      </c>
      <c r="BH65" s="241">
        <v>14</v>
      </c>
      <c r="BI65" s="241"/>
      <c r="BJ65" s="241"/>
      <c r="BK65" s="241"/>
      <c r="BL65" s="241"/>
      <c r="BM65" s="241"/>
      <c r="BN65" s="241"/>
      <c r="BO65" s="241"/>
      <c r="BP65" s="241"/>
      <c r="BQ65" s="241"/>
      <c r="BR65" s="243">
        <f t="shared" si="1"/>
        <v>0.9285714285714286</v>
      </c>
      <c r="BS65" s="243">
        <f t="shared" si="2"/>
        <v>14.821428571428571</v>
      </c>
    </row>
    <row r="66" spans="1:71">
      <c r="A66" s="111">
        <v>2258</v>
      </c>
      <c r="B66" s="111" t="s">
        <v>27</v>
      </c>
      <c r="C66" s="241">
        <v>2</v>
      </c>
      <c r="D66" s="241">
        <v>43482</v>
      </c>
      <c r="E66" s="241">
        <v>43508</v>
      </c>
      <c r="F66" s="241"/>
      <c r="G66" s="241"/>
      <c r="H66" s="241"/>
      <c r="I66" s="241"/>
      <c r="J66" s="241"/>
      <c r="K66" s="241"/>
      <c r="L66" s="241"/>
      <c r="M66" s="241">
        <v>849.80000000000007</v>
      </c>
      <c r="N66" s="241">
        <v>3463.6000000000004</v>
      </c>
      <c r="O66" s="241"/>
      <c r="P66" s="241"/>
      <c r="Q66" s="241"/>
      <c r="R66" s="241"/>
      <c r="S66" s="241"/>
      <c r="T66" s="241"/>
      <c r="U66" s="241"/>
      <c r="V66" s="241">
        <v>0.35000000000000003</v>
      </c>
      <c r="W66" s="241">
        <v>3.0750000000000002</v>
      </c>
      <c r="X66" s="241"/>
      <c r="Y66" s="241"/>
      <c r="Z66" s="241"/>
      <c r="AA66" s="241"/>
      <c r="AB66" s="241"/>
      <c r="AC66" s="241"/>
      <c r="AD66" s="241"/>
      <c r="AE66" s="241">
        <v>61.61</v>
      </c>
      <c r="AF66" s="241">
        <v>70.900000000000006</v>
      </c>
      <c r="AG66" s="241"/>
      <c r="AH66" s="241"/>
      <c r="AI66" s="241"/>
      <c r="AJ66" s="241"/>
      <c r="AK66" s="241"/>
      <c r="AL66" s="241"/>
      <c r="AM66" s="241"/>
      <c r="AN66" s="241">
        <v>862.79</v>
      </c>
      <c r="AO66" s="241">
        <v>354.93</v>
      </c>
      <c r="AP66" s="241"/>
      <c r="AQ66" s="241"/>
      <c r="AR66" s="241"/>
      <c r="AS66" s="241"/>
      <c r="AT66" s="241"/>
      <c r="AU66" s="241"/>
      <c r="AV66" s="241"/>
      <c r="AW66" s="241">
        <v>41</v>
      </c>
      <c r="AX66" s="241">
        <v>43238</v>
      </c>
      <c r="AY66" s="241">
        <f t="shared" ref="AY66:AY83" si="4">ROUND((AX66-D66)/30.5,0)</f>
        <v>-8</v>
      </c>
      <c r="AZ66" s="241">
        <v>39</v>
      </c>
      <c r="BA66" s="241">
        <v>43482</v>
      </c>
      <c r="BB66" s="241">
        <v>0</v>
      </c>
      <c r="BC66" s="241">
        <v>39</v>
      </c>
      <c r="BD66" s="241">
        <v>43598</v>
      </c>
      <c r="BE66" s="241">
        <v>4</v>
      </c>
      <c r="BF66" s="241">
        <v>37</v>
      </c>
      <c r="BG66" s="241">
        <v>43682</v>
      </c>
      <c r="BH66" s="241">
        <v>7</v>
      </c>
      <c r="BI66" s="241">
        <v>33</v>
      </c>
      <c r="BJ66" s="241">
        <v>43773</v>
      </c>
      <c r="BK66" s="241">
        <v>10</v>
      </c>
      <c r="BL66" s="241"/>
      <c r="BM66" s="241"/>
      <c r="BN66" s="241"/>
      <c r="BO66" s="241"/>
      <c r="BP66" s="241"/>
      <c r="BQ66" s="241"/>
      <c r="BR66" s="243">
        <f t="shared" si="1"/>
        <v>4.1428571428571432</v>
      </c>
      <c r="BS66" s="243">
        <f t="shared" si="2"/>
        <v>7.1428571428571432</v>
      </c>
    </row>
    <row r="67" spans="1:71">
      <c r="A67" s="111">
        <v>2445</v>
      </c>
      <c r="B67" s="111" t="s">
        <v>16</v>
      </c>
      <c r="C67" s="241">
        <v>3</v>
      </c>
      <c r="D67" s="241">
        <v>43532</v>
      </c>
      <c r="E67" s="241">
        <v>43558</v>
      </c>
      <c r="F67" s="241">
        <v>43740</v>
      </c>
      <c r="G67" s="241"/>
      <c r="H67" s="241"/>
      <c r="I67" s="241"/>
      <c r="J67" s="241"/>
      <c r="K67" s="241"/>
      <c r="L67" s="241"/>
      <c r="M67" s="241">
        <v>725</v>
      </c>
      <c r="N67" s="241">
        <v>2763.2</v>
      </c>
      <c r="O67" s="241">
        <v>1130</v>
      </c>
      <c r="P67" s="241"/>
      <c r="Q67" s="241"/>
      <c r="R67" s="241"/>
      <c r="S67" s="241"/>
      <c r="T67" s="241"/>
      <c r="U67" s="241">
        <f>AVERAGE(W61:W129)</f>
        <v>8.2784782608695657</v>
      </c>
      <c r="V67" s="241">
        <v>4.6750000000000007</v>
      </c>
      <c r="W67" s="241">
        <v>19.574999999999999</v>
      </c>
      <c r="X67" s="241">
        <v>5.3000000000000007</v>
      </c>
      <c r="Y67" s="241"/>
      <c r="Z67" s="241"/>
      <c r="AA67" s="241"/>
      <c r="AB67" s="241"/>
      <c r="AC67" s="241"/>
      <c r="AD67" s="241">
        <f>AVERAGE(AF61:AF129)</f>
        <v>55.374347826086961</v>
      </c>
      <c r="AE67" s="241">
        <v>62.1</v>
      </c>
      <c r="AF67" s="241">
        <v>50.64</v>
      </c>
      <c r="AG67" s="241">
        <v>57.52</v>
      </c>
      <c r="AH67" s="241"/>
      <c r="AI67" s="241"/>
      <c r="AJ67" s="241"/>
      <c r="AK67" s="241"/>
      <c r="AL67" s="241"/>
      <c r="AM67" s="241">
        <f>AVERAGE(AO61:AO129)</f>
        <v>920.83391304347845</v>
      </c>
      <c r="AN67" s="241">
        <v>987.25</v>
      </c>
      <c r="AO67" s="241">
        <v>335.6</v>
      </c>
      <c r="AP67" s="241">
        <v>868.33</v>
      </c>
      <c r="AQ67" s="241"/>
      <c r="AR67" s="241"/>
      <c r="AS67" s="241"/>
      <c r="AT67" s="241"/>
      <c r="AU67" s="241"/>
      <c r="AV67" s="241"/>
      <c r="AW67" s="241">
        <v>42</v>
      </c>
      <c r="AX67" s="241">
        <v>43504</v>
      </c>
      <c r="AY67" s="241">
        <f t="shared" si="4"/>
        <v>-1</v>
      </c>
      <c r="AZ67" s="241">
        <v>42</v>
      </c>
      <c r="BA67" s="241">
        <v>43532</v>
      </c>
      <c r="BB67" s="241">
        <v>0</v>
      </c>
      <c r="BC67" s="241">
        <v>42</v>
      </c>
      <c r="BD67" s="241">
        <v>43558</v>
      </c>
      <c r="BE67" s="241">
        <v>1</v>
      </c>
      <c r="BF67" s="241">
        <v>42</v>
      </c>
      <c r="BG67" s="241">
        <v>43740</v>
      </c>
      <c r="BH67" s="241">
        <v>7</v>
      </c>
      <c r="BI67" s="241"/>
      <c r="BJ67" s="241"/>
      <c r="BK67" s="241"/>
      <c r="BL67" s="241"/>
      <c r="BM67" s="241"/>
      <c r="BN67" s="241"/>
      <c r="BO67" s="241"/>
      <c r="BP67" s="241"/>
      <c r="BQ67" s="241"/>
      <c r="BR67" s="243">
        <f t="shared" ref="BR67:BR83" si="5">(BD67-BA67)/28</f>
        <v>0.9285714285714286</v>
      </c>
      <c r="BS67" s="243">
        <f t="shared" ref="BS67:BS83" si="6">(BG67-BA67)/28</f>
        <v>7.4285714285714288</v>
      </c>
    </row>
    <row r="68" spans="1:71">
      <c r="A68" s="111">
        <v>2491</v>
      </c>
      <c r="B68" s="111" t="s">
        <v>48</v>
      </c>
      <c r="C68" s="241">
        <v>2</v>
      </c>
      <c r="D68" s="241">
        <v>43581</v>
      </c>
      <c r="E68" s="241">
        <v>43607</v>
      </c>
      <c r="F68" s="241"/>
      <c r="G68" s="241"/>
      <c r="H68" s="241"/>
      <c r="I68" s="241"/>
      <c r="J68" s="241"/>
      <c r="K68" s="241"/>
      <c r="L68" s="241"/>
      <c r="M68" s="241">
        <v>664.7</v>
      </c>
      <c r="N68" s="241">
        <v>1053</v>
      </c>
      <c r="O68" s="241"/>
      <c r="P68" s="241"/>
      <c r="Q68" s="241"/>
      <c r="R68" s="241"/>
      <c r="S68" s="241"/>
      <c r="T68" s="241"/>
      <c r="U68" s="241"/>
      <c r="V68" s="241">
        <v>2.52</v>
      </c>
      <c r="W68" s="241">
        <v>2.52</v>
      </c>
      <c r="X68" s="241"/>
      <c r="Y68" s="241"/>
      <c r="Z68" s="241"/>
      <c r="AA68" s="241"/>
      <c r="AB68" s="241"/>
      <c r="AC68" s="241"/>
      <c r="AD68" s="241"/>
      <c r="AE68" s="241">
        <v>31.51</v>
      </c>
      <c r="AF68" s="241">
        <v>27.85</v>
      </c>
      <c r="AG68" s="241"/>
      <c r="AH68" s="241"/>
      <c r="AI68" s="241"/>
      <c r="AJ68" s="241"/>
      <c r="AK68" s="241"/>
      <c r="AL68" s="241"/>
      <c r="AM68" s="241"/>
      <c r="AN68" s="241">
        <v>1161.21</v>
      </c>
      <c r="AO68" s="241">
        <v>947.18</v>
      </c>
      <c r="AP68" s="241"/>
      <c r="AQ68" s="241"/>
      <c r="AR68" s="241"/>
      <c r="AS68" s="241"/>
      <c r="AT68" s="241"/>
      <c r="AU68" s="241"/>
      <c r="AV68" s="241"/>
      <c r="AW68" s="241">
        <v>29</v>
      </c>
      <c r="AX68" s="241">
        <v>43553</v>
      </c>
      <c r="AY68" s="241">
        <f t="shared" si="4"/>
        <v>-1</v>
      </c>
      <c r="AZ68" s="241">
        <v>29</v>
      </c>
      <c r="BA68" s="241">
        <v>43581</v>
      </c>
      <c r="BB68" s="241">
        <v>-1</v>
      </c>
      <c r="BC68" s="241">
        <v>28</v>
      </c>
      <c r="BD68" s="241">
        <v>43607</v>
      </c>
      <c r="BE68" s="241"/>
      <c r="BF68" s="241"/>
      <c r="BG68" s="241"/>
      <c r="BH68" s="241"/>
      <c r="BI68" s="241"/>
      <c r="BJ68" s="241"/>
      <c r="BK68" s="241"/>
      <c r="BL68" s="241"/>
      <c r="BM68" s="241"/>
      <c r="BN68" s="241"/>
      <c r="BO68" s="241"/>
      <c r="BP68" s="241"/>
      <c r="BQ68" s="241"/>
      <c r="BR68" s="243">
        <f t="shared" si="5"/>
        <v>0.9285714285714286</v>
      </c>
      <c r="BS68" s="243">
        <f t="shared" si="6"/>
        <v>-1556.4642857142858</v>
      </c>
    </row>
    <row r="69" spans="1:71">
      <c r="A69" s="111">
        <v>2392</v>
      </c>
      <c r="B69" s="111" t="s">
        <v>19</v>
      </c>
      <c r="C69" s="241">
        <v>2</v>
      </c>
      <c r="D69" s="241">
        <v>43581</v>
      </c>
      <c r="E69" s="241">
        <v>43607</v>
      </c>
      <c r="F69" s="241"/>
      <c r="G69" s="241"/>
      <c r="H69" s="241"/>
      <c r="I69" s="241"/>
      <c r="J69" s="241"/>
      <c r="K69" s="241"/>
      <c r="L69" s="241"/>
      <c r="M69" s="241">
        <v>1562.8999999999999</v>
      </c>
      <c r="N69" s="241">
        <v>2461.8000000000002</v>
      </c>
      <c r="O69" s="241"/>
      <c r="P69" s="241"/>
      <c r="Q69" s="241"/>
      <c r="R69" s="241"/>
      <c r="S69" s="241"/>
      <c r="T69" s="241"/>
      <c r="U69" s="241"/>
      <c r="V69" s="241">
        <v>5.3000000000000007</v>
      </c>
      <c r="W69" s="241">
        <v>25.775000000000002</v>
      </c>
      <c r="X69" s="241"/>
      <c r="Y69" s="241"/>
      <c r="Z69" s="241"/>
      <c r="AA69" s="241"/>
      <c r="AB69" s="241"/>
      <c r="AC69" s="241"/>
      <c r="AD69" s="241"/>
      <c r="AE69" s="241">
        <v>81.03</v>
      </c>
      <c r="AF69" s="241">
        <v>50.41</v>
      </c>
      <c r="AG69" s="241"/>
      <c r="AH69" s="241"/>
      <c r="AI69" s="241"/>
      <c r="AJ69" s="241"/>
      <c r="AK69" s="241"/>
      <c r="AL69" s="241"/>
      <c r="AM69" s="241"/>
      <c r="AN69" s="241">
        <v>1685.76</v>
      </c>
      <c r="AO69" s="241">
        <v>1333.03</v>
      </c>
      <c r="AP69" s="241"/>
      <c r="AQ69" s="241"/>
      <c r="AR69" s="241"/>
      <c r="AS69" s="241"/>
      <c r="AT69" s="241"/>
      <c r="AU69" s="241"/>
      <c r="AV69" s="241"/>
      <c r="AW69" s="241">
        <v>43</v>
      </c>
      <c r="AX69" s="241">
        <v>43434</v>
      </c>
      <c r="AY69" s="241">
        <f t="shared" si="4"/>
        <v>-5</v>
      </c>
      <c r="AZ69" s="241">
        <v>39</v>
      </c>
      <c r="BA69" s="241">
        <v>43511</v>
      </c>
      <c r="BB69" s="241">
        <v>-2</v>
      </c>
      <c r="BC69" s="241">
        <v>28</v>
      </c>
      <c r="BD69" s="241">
        <v>43670</v>
      </c>
      <c r="BE69" s="241">
        <v>3</v>
      </c>
      <c r="BF69" s="241">
        <v>19</v>
      </c>
      <c r="BG69" s="241">
        <v>43892</v>
      </c>
      <c r="BH69" s="241">
        <v>10</v>
      </c>
      <c r="BI69" s="241"/>
      <c r="BJ69" s="241"/>
      <c r="BK69" s="241"/>
      <c r="BL69" s="241"/>
      <c r="BM69" s="241"/>
      <c r="BN69" s="241"/>
      <c r="BO69" s="241"/>
      <c r="BP69" s="241"/>
      <c r="BQ69" s="241"/>
      <c r="BR69" s="243">
        <f t="shared" si="5"/>
        <v>5.6785714285714288</v>
      </c>
      <c r="BS69" s="243">
        <f t="shared" si="6"/>
        <v>13.607142857142858</v>
      </c>
    </row>
    <row r="70" spans="1:71">
      <c r="A70" s="111">
        <v>2497</v>
      </c>
      <c r="B70" s="111" t="s">
        <v>15</v>
      </c>
      <c r="C70" s="241">
        <v>3</v>
      </c>
      <c r="D70" s="241">
        <v>43587</v>
      </c>
      <c r="E70" s="241">
        <v>43613</v>
      </c>
      <c r="F70" s="241">
        <v>43833</v>
      </c>
      <c r="G70" s="241"/>
      <c r="H70" s="241"/>
      <c r="I70" s="241"/>
      <c r="J70" s="241"/>
      <c r="K70" s="241"/>
      <c r="L70" s="241"/>
      <c r="M70" s="241">
        <v>1346.5</v>
      </c>
      <c r="N70" s="241">
        <v>1975.3999999999999</v>
      </c>
      <c r="O70" s="241">
        <v>1316</v>
      </c>
      <c r="P70" s="241"/>
      <c r="Q70" s="241"/>
      <c r="R70" s="241"/>
      <c r="S70" s="241"/>
      <c r="T70" s="241"/>
      <c r="U70" s="241">
        <f>QUARTILE(X62:X71,1)</f>
        <v>1.9</v>
      </c>
      <c r="V70" s="241">
        <v>10.9</v>
      </c>
      <c r="W70" s="241">
        <v>16.975000000000001</v>
      </c>
      <c r="X70" s="241">
        <v>2.2749999999999999</v>
      </c>
      <c r="Y70" s="241"/>
      <c r="Z70" s="241"/>
      <c r="AA70" s="241"/>
      <c r="AB70" s="241"/>
      <c r="AC70" s="241"/>
      <c r="AD70" s="241">
        <f>QUARTILE(AG62:AG71,1)</f>
        <v>30.54</v>
      </c>
      <c r="AE70" s="241">
        <v>46.36</v>
      </c>
      <c r="AF70" s="241">
        <v>57.15</v>
      </c>
      <c r="AG70" s="241">
        <v>33.270000000000003</v>
      </c>
      <c r="AH70" s="241"/>
      <c r="AI70" s="241"/>
      <c r="AJ70" s="241"/>
      <c r="AK70" s="241"/>
      <c r="AL70" s="241"/>
      <c r="AM70" s="241">
        <f>QUARTILE(AP62:AP71,1)</f>
        <v>868.33</v>
      </c>
      <c r="AN70" s="241">
        <v>770.04</v>
      </c>
      <c r="AO70" s="241">
        <v>434.9</v>
      </c>
      <c r="AP70" s="241">
        <v>1602.25</v>
      </c>
      <c r="AQ70" s="241"/>
      <c r="AR70" s="241"/>
      <c r="AS70" s="241"/>
      <c r="AT70" s="241"/>
      <c r="AU70" s="241"/>
      <c r="AV70" s="241"/>
      <c r="AW70" s="241">
        <v>43</v>
      </c>
      <c r="AX70" s="241">
        <v>43559</v>
      </c>
      <c r="AY70" s="241">
        <f t="shared" si="4"/>
        <v>-1</v>
      </c>
      <c r="AZ70" s="241">
        <v>43</v>
      </c>
      <c r="BA70" s="241">
        <v>43587</v>
      </c>
      <c r="BB70" s="241">
        <v>0</v>
      </c>
      <c r="BC70" s="241">
        <v>43</v>
      </c>
      <c r="BD70" s="241">
        <v>43613</v>
      </c>
      <c r="BE70" s="241">
        <v>1</v>
      </c>
      <c r="BF70" s="241">
        <v>36</v>
      </c>
      <c r="BG70" s="241">
        <v>43833</v>
      </c>
      <c r="BH70" s="241">
        <v>8</v>
      </c>
      <c r="BI70" s="241"/>
      <c r="BJ70" s="241"/>
      <c r="BK70" s="241"/>
      <c r="BL70" s="241"/>
      <c r="BM70" s="241"/>
      <c r="BN70" s="241"/>
      <c r="BO70" s="241"/>
      <c r="BP70" s="241"/>
      <c r="BQ70" s="241"/>
      <c r="BR70" s="243">
        <f t="shared" si="5"/>
        <v>0.9285714285714286</v>
      </c>
      <c r="BS70" s="243">
        <f t="shared" si="6"/>
        <v>8.7857142857142865</v>
      </c>
    </row>
    <row r="71" spans="1:71">
      <c r="A71" s="111">
        <v>2504</v>
      </c>
      <c r="B71" s="111" t="s">
        <v>17</v>
      </c>
      <c r="C71" s="241">
        <v>3</v>
      </c>
      <c r="D71" s="241">
        <v>43594</v>
      </c>
      <c r="E71" s="241">
        <v>43620</v>
      </c>
      <c r="F71" s="241">
        <v>43791</v>
      </c>
      <c r="G71" s="241"/>
      <c r="H71" s="241"/>
      <c r="I71" s="241"/>
      <c r="J71" s="241"/>
      <c r="K71" s="241"/>
      <c r="L71" s="241"/>
      <c r="M71" s="241">
        <v>953</v>
      </c>
      <c r="N71" s="241">
        <v>2516.9</v>
      </c>
      <c r="O71" s="241">
        <v>1167.7</v>
      </c>
      <c r="P71" s="241"/>
      <c r="Q71" s="241"/>
      <c r="R71" s="241"/>
      <c r="S71" s="241"/>
      <c r="T71" s="241"/>
      <c r="U71" s="241">
        <f>MEDIAN(X62:X73)</f>
        <v>2.2749999999999999</v>
      </c>
      <c r="V71" s="241">
        <v>3.1749999999999998</v>
      </c>
      <c r="W71" s="241">
        <v>7.75</v>
      </c>
      <c r="X71" s="241">
        <v>3.8250000000000002</v>
      </c>
      <c r="Y71" s="241"/>
      <c r="Z71" s="241"/>
      <c r="AA71" s="241"/>
      <c r="AB71" s="241"/>
      <c r="AC71" s="241"/>
      <c r="AD71" s="241">
        <f>MEDIAN(AG62:AG73)</f>
        <v>33.270000000000003</v>
      </c>
      <c r="AE71" s="241">
        <v>83.58</v>
      </c>
      <c r="AF71" s="241">
        <v>34.909999999999997</v>
      </c>
      <c r="AG71" s="241">
        <v>43</v>
      </c>
      <c r="AH71" s="241"/>
      <c r="AI71" s="241"/>
      <c r="AJ71" s="241"/>
      <c r="AK71" s="241"/>
      <c r="AL71" s="241"/>
      <c r="AM71" s="241">
        <f>MEDIAN(AP62:AP73)</f>
        <v>1039.6099999999999</v>
      </c>
      <c r="AN71" s="241">
        <v>776.45</v>
      </c>
      <c r="AO71" s="241">
        <v>581.07000000000005</v>
      </c>
      <c r="AP71" s="241">
        <v>1039.6099999999999</v>
      </c>
      <c r="AQ71" s="241"/>
      <c r="AR71" s="241"/>
      <c r="AS71" s="241"/>
      <c r="AT71" s="241"/>
      <c r="AU71" s="241"/>
      <c r="AV71" s="241"/>
      <c r="AW71" s="241">
        <v>42</v>
      </c>
      <c r="AX71" s="241">
        <v>43566</v>
      </c>
      <c r="AY71" s="241">
        <f t="shared" si="4"/>
        <v>-1</v>
      </c>
      <c r="AZ71" s="241">
        <v>42</v>
      </c>
      <c r="BA71" s="241">
        <v>43594</v>
      </c>
      <c r="BB71" s="241">
        <v>0</v>
      </c>
      <c r="BC71" s="241">
        <v>42</v>
      </c>
      <c r="BD71" s="241">
        <v>43620</v>
      </c>
      <c r="BE71" s="241">
        <v>1</v>
      </c>
      <c r="BF71" s="241">
        <v>38</v>
      </c>
      <c r="BG71" s="241">
        <v>43791</v>
      </c>
      <c r="BH71" s="241">
        <v>6</v>
      </c>
      <c r="BI71" s="241"/>
      <c r="BJ71" s="241"/>
      <c r="BK71" s="241"/>
      <c r="BL71" s="241"/>
      <c r="BM71" s="241"/>
      <c r="BN71" s="241"/>
      <c r="BO71" s="241"/>
      <c r="BP71" s="241"/>
      <c r="BQ71" s="241"/>
      <c r="BR71" s="243">
        <f t="shared" si="5"/>
        <v>0.9285714285714286</v>
      </c>
      <c r="BS71" s="243">
        <f t="shared" si="6"/>
        <v>7.0357142857142856</v>
      </c>
    </row>
    <row r="72" spans="1:71">
      <c r="A72" s="111">
        <v>2503</v>
      </c>
      <c r="B72" s="111" t="s">
        <v>49</v>
      </c>
      <c r="C72" s="241">
        <v>2</v>
      </c>
      <c r="D72" s="241">
        <v>43594</v>
      </c>
      <c r="E72" s="241">
        <v>43620</v>
      </c>
      <c r="F72" s="241"/>
      <c r="G72" s="241"/>
      <c r="H72" s="241"/>
      <c r="I72" s="241"/>
      <c r="J72" s="241"/>
      <c r="K72" s="241"/>
      <c r="L72" s="241"/>
      <c r="M72" s="241">
        <v>1146.9000000000001</v>
      </c>
      <c r="N72" s="241">
        <v>1226.4000000000001</v>
      </c>
      <c r="O72" s="241"/>
      <c r="P72" s="241"/>
      <c r="Q72" s="241"/>
      <c r="R72" s="241"/>
      <c r="S72" s="241"/>
      <c r="T72" s="241"/>
      <c r="U72" s="241"/>
      <c r="V72" s="241">
        <v>1.81</v>
      </c>
      <c r="W72" s="241">
        <v>2.66</v>
      </c>
      <c r="X72" s="241"/>
      <c r="Y72" s="241"/>
      <c r="Z72" s="241"/>
      <c r="AA72" s="241"/>
      <c r="AB72" s="241"/>
      <c r="AC72" s="241"/>
      <c r="AD72" s="241"/>
      <c r="AE72" s="241">
        <v>40.590000000000003</v>
      </c>
      <c r="AF72" s="241">
        <v>37.24</v>
      </c>
      <c r="AG72" s="241"/>
      <c r="AH72" s="241"/>
      <c r="AI72" s="241"/>
      <c r="AJ72" s="241"/>
      <c r="AK72" s="241"/>
      <c r="AL72" s="241"/>
      <c r="AM72" s="241"/>
      <c r="AN72" s="241">
        <v>1259.02</v>
      </c>
      <c r="AO72" s="241">
        <v>676.17</v>
      </c>
      <c r="AP72" s="241"/>
      <c r="AQ72" s="241"/>
      <c r="AR72" s="241"/>
      <c r="AS72" s="241"/>
      <c r="AT72" s="241"/>
      <c r="AU72" s="241"/>
      <c r="AV72" s="241"/>
      <c r="AW72" s="241">
        <v>40</v>
      </c>
      <c r="AX72" s="241">
        <v>43566</v>
      </c>
      <c r="AY72" s="241">
        <f t="shared" si="4"/>
        <v>-1</v>
      </c>
      <c r="AZ72" s="241">
        <v>40</v>
      </c>
      <c r="BA72" s="241">
        <v>43566</v>
      </c>
      <c r="BB72" s="241">
        <v>-1</v>
      </c>
      <c r="BC72" s="241">
        <v>40</v>
      </c>
      <c r="BD72" s="241">
        <v>43594</v>
      </c>
      <c r="BE72" s="241"/>
      <c r="BF72" s="241"/>
      <c r="BG72" s="241"/>
      <c r="BH72" s="241"/>
      <c r="BI72" s="241"/>
      <c r="BJ72" s="241"/>
      <c r="BK72" s="241"/>
      <c r="BL72" s="241"/>
      <c r="BM72" s="241"/>
      <c r="BN72" s="241"/>
      <c r="BO72" s="241"/>
      <c r="BP72" s="241"/>
      <c r="BQ72" s="241"/>
      <c r="BR72" s="243">
        <f t="shared" si="5"/>
        <v>1</v>
      </c>
      <c r="BS72" s="243">
        <f t="shared" si="6"/>
        <v>-1555.9285714285713</v>
      </c>
    </row>
    <row r="73" spans="1:71">
      <c r="A73" s="111">
        <v>2509</v>
      </c>
      <c r="B73" s="111" t="s">
        <v>61</v>
      </c>
      <c r="C73" s="241">
        <v>2</v>
      </c>
      <c r="D73" s="241">
        <v>43602</v>
      </c>
      <c r="E73" s="241">
        <v>43628</v>
      </c>
      <c r="F73" s="241"/>
      <c r="G73" s="241"/>
      <c r="H73" s="241"/>
      <c r="I73" s="241"/>
      <c r="J73" s="241"/>
      <c r="K73" s="241"/>
      <c r="L73" s="241"/>
      <c r="M73" s="241">
        <v>1034.5999999999999</v>
      </c>
      <c r="N73" s="241">
        <v>1429.6000000000001</v>
      </c>
      <c r="O73" s="241"/>
      <c r="P73" s="241"/>
      <c r="Q73" s="241"/>
      <c r="R73" s="241"/>
      <c r="S73" s="241"/>
      <c r="T73" s="241"/>
      <c r="U73" s="241"/>
      <c r="V73" s="241">
        <v>2.2400000000000002</v>
      </c>
      <c r="W73" s="241">
        <v>2.8</v>
      </c>
      <c r="X73" s="241"/>
      <c r="Y73" s="241"/>
      <c r="Z73" s="241"/>
      <c r="AA73" s="241"/>
      <c r="AB73" s="241"/>
      <c r="AC73" s="241"/>
      <c r="AD73" s="241"/>
      <c r="AE73" s="241">
        <v>37.47</v>
      </c>
      <c r="AF73" s="241">
        <v>41.31</v>
      </c>
      <c r="AG73" s="241"/>
      <c r="AH73" s="241"/>
      <c r="AI73" s="241"/>
      <c r="AJ73" s="241"/>
      <c r="AK73" s="241"/>
      <c r="AL73" s="241"/>
      <c r="AM73" s="241"/>
      <c r="AN73" s="241">
        <v>1446.48</v>
      </c>
      <c r="AO73" s="241">
        <v>1314.54</v>
      </c>
      <c r="AP73" s="241"/>
      <c r="AQ73" s="241"/>
      <c r="AR73" s="241"/>
      <c r="AS73" s="241"/>
      <c r="AT73" s="241"/>
      <c r="AU73" s="241"/>
      <c r="AV73" s="241"/>
      <c r="AW73" s="241">
        <v>37</v>
      </c>
      <c r="AX73" s="241">
        <v>43574</v>
      </c>
      <c r="AY73" s="241">
        <f t="shared" si="4"/>
        <v>-1</v>
      </c>
      <c r="AZ73" s="241">
        <v>37</v>
      </c>
      <c r="BA73" s="241">
        <v>43574</v>
      </c>
      <c r="BB73" s="241">
        <v>-1</v>
      </c>
      <c r="BC73" s="241"/>
      <c r="BD73" s="241"/>
      <c r="BE73" s="241"/>
      <c r="BF73" s="241"/>
      <c r="BG73" s="241"/>
      <c r="BH73" s="241"/>
      <c r="BI73" s="241"/>
      <c r="BJ73" s="241"/>
      <c r="BK73" s="241"/>
      <c r="BL73" s="241"/>
      <c r="BM73" s="241"/>
      <c r="BN73" s="241"/>
      <c r="BO73" s="241"/>
      <c r="BP73" s="241"/>
      <c r="BQ73" s="241"/>
      <c r="BR73" s="243">
        <f t="shared" si="5"/>
        <v>-1556.2142857142858</v>
      </c>
      <c r="BS73" s="243">
        <f t="shared" si="6"/>
        <v>-1556.2142857142858</v>
      </c>
    </row>
    <row r="74" spans="1:71">
      <c r="A74" s="111">
        <v>2388</v>
      </c>
      <c r="B74" s="111" t="s">
        <v>62</v>
      </c>
      <c r="C74" s="241">
        <v>2</v>
      </c>
      <c r="D74" s="241">
        <v>43615</v>
      </c>
      <c r="E74" s="241">
        <v>43641</v>
      </c>
      <c r="F74" s="241"/>
      <c r="G74" s="241"/>
      <c r="H74" s="241"/>
      <c r="I74" s="241"/>
      <c r="J74" s="241"/>
      <c r="K74" s="241"/>
      <c r="L74" s="241"/>
      <c r="M74" s="241">
        <v>1402.5</v>
      </c>
      <c r="N74" s="241">
        <v>1437.3</v>
      </c>
      <c r="O74" s="241"/>
      <c r="P74" s="241"/>
      <c r="Q74" s="241"/>
      <c r="R74" s="241"/>
      <c r="S74" s="241"/>
      <c r="T74" s="241"/>
      <c r="U74" s="241"/>
      <c r="V74" s="241">
        <v>3.5999999999999996</v>
      </c>
      <c r="W74" s="241">
        <v>2.3000000000000003</v>
      </c>
      <c r="X74" s="241"/>
      <c r="Y74" s="241"/>
      <c r="Z74" s="241"/>
      <c r="AA74" s="241"/>
      <c r="AB74" s="241"/>
      <c r="AC74" s="241"/>
      <c r="AD74" s="241"/>
      <c r="AE74" s="241">
        <v>61.88</v>
      </c>
      <c r="AF74" s="241">
        <v>53.35</v>
      </c>
      <c r="AG74" s="241"/>
      <c r="AH74" s="241"/>
      <c r="AI74" s="241"/>
      <c r="AJ74" s="241"/>
      <c r="AK74" s="241"/>
      <c r="AL74" s="241"/>
      <c r="AM74" s="241"/>
      <c r="AN74" s="241">
        <v>1912.64</v>
      </c>
      <c r="AO74" s="241">
        <v>1589.78</v>
      </c>
      <c r="AP74" s="241"/>
      <c r="AQ74" s="241"/>
      <c r="AR74" s="241"/>
      <c r="AS74" s="241"/>
      <c r="AT74" s="241"/>
      <c r="AU74" s="241"/>
      <c r="AV74" s="241"/>
      <c r="AW74" s="241">
        <v>44</v>
      </c>
      <c r="AX74" s="241">
        <v>43434</v>
      </c>
      <c r="AY74" s="241">
        <f t="shared" si="4"/>
        <v>-6</v>
      </c>
      <c r="AZ74" s="241">
        <v>39</v>
      </c>
      <c r="BA74" s="241">
        <v>43615</v>
      </c>
      <c r="BB74" s="241">
        <v>0</v>
      </c>
      <c r="BC74" s="241"/>
      <c r="BD74" s="241"/>
      <c r="BE74" s="241"/>
      <c r="BF74" s="241"/>
      <c r="BG74" s="241"/>
      <c r="BH74" s="241"/>
      <c r="BI74" s="241"/>
      <c r="BJ74" s="241"/>
      <c r="BK74" s="241"/>
      <c r="BL74" s="241"/>
      <c r="BM74" s="241"/>
      <c r="BN74" s="241"/>
      <c r="BO74" s="241"/>
      <c r="BP74" s="241"/>
      <c r="BQ74" s="241"/>
      <c r="BR74" s="243">
        <f t="shared" si="5"/>
        <v>-1557.6785714285713</v>
      </c>
      <c r="BS74" s="243">
        <f t="shared" si="6"/>
        <v>-1557.6785714285713</v>
      </c>
    </row>
    <row r="75" spans="1:71">
      <c r="A75" s="111">
        <v>2532</v>
      </c>
      <c r="B75" s="111" t="s">
        <v>76</v>
      </c>
      <c r="C75" s="241">
        <v>3</v>
      </c>
      <c r="D75" s="241">
        <v>43629</v>
      </c>
      <c r="E75" s="241">
        <v>43700</v>
      </c>
      <c r="F75" s="241">
        <v>43746</v>
      </c>
      <c r="G75" s="241"/>
      <c r="H75" s="241"/>
      <c r="I75" s="241"/>
      <c r="J75" s="241"/>
      <c r="K75" s="241"/>
      <c r="L75" s="241"/>
      <c r="M75" s="241">
        <v>1086.8000000000002</v>
      </c>
      <c r="N75" s="241">
        <v>1271</v>
      </c>
      <c r="O75" s="241">
        <v>1442.8</v>
      </c>
      <c r="P75" s="241"/>
      <c r="Q75" s="241"/>
      <c r="R75" s="241"/>
      <c r="S75" s="241"/>
      <c r="T75" s="241"/>
      <c r="U75" s="241">
        <f>MEDIAN(V69:V80)</f>
        <v>3.4699999999999998</v>
      </c>
      <c r="V75" s="241">
        <v>9.7249999999999996</v>
      </c>
      <c r="W75" s="241">
        <v>7.35</v>
      </c>
      <c r="X75" s="241">
        <v>11.675000000000001</v>
      </c>
      <c r="Y75" s="241"/>
      <c r="Z75" s="241"/>
      <c r="AA75" s="241"/>
      <c r="AB75" s="241"/>
      <c r="AC75" s="241"/>
      <c r="AD75" s="241">
        <f>MEDIAN(AE69:AE80)</f>
        <v>58.97</v>
      </c>
      <c r="AE75" s="241">
        <v>77.13</v>
      </c>
      <c r="AF75" s="241">
        <v>68.23</v>
      </c>
      <c r="AG75" s="241">
        <v>74.819999999999993</v>
      </c>
      <c r="AH75" s="241"/>
      <c r="AI75" s="241"/>
      <c r="AJ75" s="241"/>
      <c r="AK75" s="241"/>
      <c r="AL75" s="241"/>
      <c r="AM75" s="241">
        <f>MEDIAN(AN69:AN80)</f>
        <v>1090.7950000000001</v>
      </c>
      <c r="AN75" s="241">
        <v>897.8</v>
      </c>
      <c r="AO75" s="241">
        <v>583.76</v>
      </c>
      <c r="AP75" s="241">
        <v>482.52</v>
      </c>
      <c r="AQ75" s="241"/>
      <c r="AR75" s="241"/>
      <c r="AS75" s="241"/>
      <c r="AT75" s="241"/>
      <c r="AU75" s="241"/>
      <c r="AV75" s="241"/>
      <c r="AW75" s="241">
        <v>31</v>
      </c>
      <c r="AX75" s="241">
        <v>43601</v>
      </c>
      <c r="AY75" s="241">
        <f t="shared" si="4"/>
        <v>-1</v>
      </c>
      <c r="AZ75" s="241">
        <v>29</v>
      </c>
      <c r="BA75" s="241">
        <v>43629</v>
      </c>
      <c r="BB75" s="241">
        <v>0</v>
      </c>
      <c r="BC75" s="241">
        <v>26</v>
      </c>
      <c r="BD75" s="241">
        <v>43746</v>
      </c>
      <c r="BE75" s="241">
        <v>4</v>
      </c>
      <c r="BF75" s="241">
        <v>25</v>
      </c>
      <c r="BG75" s="241">
        <v>43857</v>
      </c>
      <c r="BH75" s="241">
        <v>7</v>
      </c>
      <c r="BI75" s="241"/>
      <c r="BJ75" s="241"/>
      <c r="BK75" s="241"/>
      <c r="BL75" s="241"/>
      <c r="BM75" s="241"/>
      <c r="BN75" s="241"/>
      <c r="BO75" s="241"/>
      <c r="BP75" s="241"/>
      <c r="BQ75" s="241"/>
      <c r="BR75" s="243">
        <f t="shared" si="5"/>
        <v>4.1785714285714288</v>
      </c>
      <c r="BS75" s="243">
        <f t="shared" si="6"/>
        <v>8.1428571428571423</v>
      </c>
    </row>
    <row r="76" spans="1:71">
      <c r="A76" s="111">
        <v>2533</v>
      </c>
      <c r="B76" s="111" t="s">
        <v>77</v>
      </c>
      <c r="C76" s="241">
        <v>3</v>
      </c>
      <c r="D76" s="241">
        <v>43630</v>
      </c>
      <c r="E76" s="241">
        <v>43693</v>
      </c>
      <c r="F76" s="241">
        <v>43740</v>
      </c>
      <c r="G76" s="241"/>
      <c r="H76" s="241"/>
      <c r="I76" s="241"/>
      <c r="J76" s="241"/>
      <c r="K76" s="241"/>
      <c r="L76" s="241"/>
      <c r="M76" s="241">
        <v>960.90000000000009</v>
      </c>
      <c r="N76" s="241">
        <v>1000.3</v>
      </c>
      <c r="O76" s="241">
        <v>1361</v>
      </c>
      <c r="P76" s="241"/>
      <c r="Q76" s="241"/>
      <c r="R76" s="241"/>
      <c r="S76" s="241"/>
      <c r="T76" s="241"/>
      <c r="U76" s="241">
        <f>STDEV(W71:W137)</f>
        <v>4.5207995449523102</v>
      </c>
      <c r="V76" s="241">
        <v>4.6750000000000007</v>
      </c>
      <c r="W76" s="241">
        <v>6.7249999999999996</v>
      </c>
      <c r="X76" s="241">
        <v>4.4749999999999996</v>
      </c>
      <c r="Y76" s="241"/>
      <c r="Z76" s="241"/>
      <c r="AA76" s="241"/>
      <c r="AB76" s="241"/>
      <c r="AC76" s="241"/>
      <c r="AD76" s="241">
        <f>STDEV(AF71:AF137)</f>
        <v>17.832999122197805</v>
      </c>
      <c r="AE76" s="241">
        <v>43.13</v>
      </c>
      <c r="AF76" s="241">
        <v>57.34</v>
      </c>
      <c r="AG76" s="241">
        <v>69.510000000000005</v>
      </c>
      <c r="AH76" s="241"/>
      <c r="AI76" s="241"/>
      <c r="AJ76" s="241"/>
      <c r="AK76" s="241"/>
      <c r="AL76" s="241"/>
      <c r="AM76" s="241">
        <f>STDEV(AO71:AO137)</f>
        <v>407.08111105238135</v>
      </c>
      <c r="AN76" s="241">
        <v>1307.51</v>
      </c>
      <c r="AO76" s="241">
        <v>1207.54</v>
      </c>
      <c r="AP76" s="241">
        <v>1231.42</v>
      </c>
      <c r="AQ76" s="241"/>
      <c r="AR76" s="241"/>
      <c r="AS76" s="241"/>
      <c r="AT76" s="241"/>
      <c r="AU76" s="241"/>
      <c r="AV76" s="241"/>
      <c r="AW76" s="241">
        <v>36</v>
      </c>
      <c r="AX76" s="241">
        <v>43602</v>
      </c>
      <c r="AY76" s="241">
        <f t="shared" si="4"/>
        <v>-1</v>
      </c>
      <c r="AZ76" s="241">
        <v>35</v>
      </c>
      <c r="BA76" s="241">
        <v>43630</v>
      </c>
      <c r="BB76" s="241">
        <v>0</v>
      </c>
      <c r="BC76" s="241">
        <v>34</v>
      </c>
      <c r="BD76" s="241">
        <v>43693</v>
      </c>
      <c r="BE76" s="241">
        <v>2</v>
      </c>
      <c r="BF76" s="241">
        <v>31</v>
      </c>
      <c r="BG76" s="241">
        <v>43740</v>
      </c>
      <c r="BH76" s="241">
        <v>4</v>
      </c>
      <c r="BI76" s="241"/>
      <c r="BJ76" s="241"/>
      <c r="BK76" s="241"/>
      <c r="BL76" s="241"/>
      <c r="BM76" s="241"/>
      <c r="BN76" s="241"/>
      <c r="BO76" s="241"/>
      <c r="BP76" s="241"/>
      <c r="BQ76" s="241"/>
      <c r="BR76" s="243">
        <f t="shared" si="5"/>
        <v>2.25</v>
      </c>
      <c r="BS76" s="243">
        <f t="shared" si="6"/>
        <v>3.9285714285714284</v>
      </c>
    </row>
    <row r="77" spans="1:71">
      <c r="A77" s="111">
        <v>2501</v>
      </c>
      <c r="B77" s="111" t="s">
        <v>60</v>
      </c>
      <c r="C77" s="241">
        <v>2</v>
      </c>
      <c r="D77" s="241">
        <v>43643</v>
      </c>
      <c r="E77" s="241">
        <v>43669</v>
      </c>
      <c r="F77" s="241"/>
      <c r="G77" s="241"/>
      <c r="H77" s="241"/>
      <c r="I77" s="241"/>
      <c r="J77" s="241"/>
      <c r="K77" s="241"/>
      <c r="L77" s="241"/>
      <c r="M77" s="241">
        <v>1099.8</v>
      </c>
      <c r="N77" s="241">
        <v>1190.5</v>
      </c>
      <c r="O77" s="241"/>
      <c r="P77" s="241"/>
      <c r="Q77" s="241"/>
      <c r="R77" s="241"/>
      <c r="S77" s="241"/>
      <c r="T77" s="241"/>
      <c r="U77" s="241"/>
      <c r="V77" s="241">
        <v>1.88</v>
      </c>
      <c r="W77" s="241">
        <v>3.47</v>
      </c>
      <c r="X77" s="241"/>
      <c r="Y77" s="241"/>
      <c r="Z77" s="241"/>
      <c r="AA77" s="241"/>
      <c r="AB77" s="241"/>
      <c r="AC77" s="241"/>
      <c r="AD77" s="241"/>
      <c r="AE77" s="241">
        <v>78.2</v>
      </c>
      <c r="AF77" s="241">
        <v>51.88</v>
      </c>
      <c r="AG77" s="241"/>
      <c r="AH77" s="241"/>
      <c r="AI77" s="241"/>
      <c r="AJ77" s="241"/>
      <c r="AK77" s="241"/>
      <c r="AL77" s="241"/>
      <c r="AM77" s="241"/>
      <c r="AN77" s="241">
        <v>555.95000000000005</v>
      </c>
      <c r="AO77" s="241">
        <v>437.12</v>
      </c>
      <c r="AP77" s="241"/>
      <c r="AQ77" s="241"/>
      <c r="AR77" s="241"/>
      <c r="AS77" s="241"/>
      <c r="AT77" s="241"/>
      <c r="AU77" s="241"/>
      <c r="AV77" s="241"/>
      <c r="AW77" s="241">
        <v>34</v>
      </c>
      <c r="AX77" s="241">
        <v>43560</v>
      </c>
      <c r="AY77" s="241">
        <f t="shared" si="4"/>
        <v>-3</v>
      </c>
      <c r="AZ77" s="241">
        <v>33</v>
      </c>
      <c r="BA77" s="241">
        <v>43643</v>
      </c>
      <c r="BB77" s="241">
        <v>0</v>
      </c>
      <c r="BC77" s="241"/>
      <c r="BD77" s="241"/>
      <c r="BE77" s="241"/>
      <c r="BF77" s="241"/>
      <c r="BG77" s="241"/>
      <c r="BH77" s="241"/>
      <c r="BI77" s="241"/>
      <c r="BJ77" s="241"/>
      <c r="BK77" s="241"/>
      <c r="BL77" s="241"/>
      <c r="BM77" s="241"/>
      <c r="BN77" s="241"/>
      <c r="BO77" s="241"/>
      <c r="BP77" s="241"/>
      <c r="BQ77" s="241"/>
      <c r="BR77" s="243">
        <f t="shared" si="5"/>
        <v>-1558.6785714285713</v>
      </c>
      <c r="BS77" s="243">
        <f t="shared" si="6"/>
        <v>-1558.6785714285713</v>
      </c>
    </row>
    <row r="78" spans="1:71">
      <c r="A78" s="111">
        <v>2541</v>
      </c>
      <c r="B78" s="111" t="s">
        <v>18</v>
      </c>
      <c r="C78" s="241">
        <v>3</v>
      </c>
      <c r="D78" s="241">
        <v>43643</v>
      </c>
      <c r="E78" s="241">
        <v>43669</v>
      </c>
      <c r="F78" s="241">
        <v>43776</v>
      </c>
      <c r="G78" s="241"/>
      <c r="H78" s="241"/>
      <c r="I78" s="241"/>
      <c r="J78" s="241"/>
      <c r="K78" s="241"/>
      <c r="L78" s="241"/>
      <c r="M78" s="241">
        <v>848.40000000000009</v>
      </c>
      <c r="N78" s="241">
        <v>868.1</v>
      </c>
      <c r="O78" s="241">
        <v>390.7</v>
      </c>
      <c r="P78" s="241"/>
      <c r="Q78" s="241"/>
      <c r="R78" s="241"/>
      <c r="S78" s="241"/>
      <c r="T78" s="241"/>
      <c r="U78" s="241">
        <f>QUARTILE(V70:V81,3)</f>
        <v>4.0187499999999998</v>
      </c>
      <c r="V78" s="241">
        <v>3.8</v>
      </c>
      <c r="W78" s="241">
        <v>9.7249999999999996</v>
      </c>
      <c r="X78" s="241">
        <v>3.1749999999999998</v>
      </c>
      <c r="Y78" s="241"/>
      <c r="Z78" s="241"/>
      <c r="AA78" s="241"/>
      <c r="AB78" s="241"/>
      <c r="AC78" s="241"/>
      <c r="AD78" s="241">
        <f>QUARTILE(AE70:AE81,3)</f>
        <v>77.397499999999994</v>
      </c>
      <c r="AE78" s="241">
        <v>91.82</v>
      </c>
      <c r="AF78" s="241">
        <v>46.14</v>
      </c>
      <c r="AG78" s="241">
        <v>38.65</v>
      </c>
      <c r="AH78" s="241"/>
      <c r="AI78" s="241"/>
      <c r="AJ78" s="241"/>
      <c r="AK78" s="241"/>
      <c r="AL78" s="241"/>
      <c r="AM78" s="241">
        <f>QUARTILE(AN70:AN81,3)</f>
        <v>1342.2525000000001</v>
      </c>
      <c r="AN78" s="241">
        <v>1117.06</v>
      </c>
      <c r="AO78" s="241">
        <v>817.18</v>
      </c>
      <c r="AP78" s="241">
        <v>927.24</v>
      </c>
      <c r="AQ78" s="241"/>
      <c r="AR78" s="241"/>
      <c r="AS78" s="241"/>
      <c r="AT78" s="241"/>
      <c r="AU78" s="241"/>
      <c r="AV78" s="241"/>
      <c r="AW78" s="241">
        <v>37</v>
      </c>
      <c r="AX78" s="241">
        <v>43615</v>
      </c>
      <c r="AY78" s="241">
        <f t="shared" si="4"/>
        <v>-1</v>
      </c>
      <c r="AZ78" s="241">
        <v>37</v>
      </c>
      <c r="BA78" s="241">
        <v>43643</v>
      </c>
      <c r="BB78" s="241">
        <v>0</v>
      </c>
      <c r="BC78" s="241">
        <v>37</v>
      </c>
      <c r="BD78" s="241">
        <v>43669</v>
      </c>
      <c r="BE78" s="241">
        <v>1</v>
      </c>
      <c r="BF78" s="241">
        <v>37</v>
      </c>
      <c r="BG78" s="241">
        <v>43777</v>
      </c>
      <c r="BH78" s="241">
        <v>4</v>
      </c>
      <c r="BI78" s="241"/>
      <c r="BJ78" s="241"/>
      <c r="BK78" s="241"/>
      <c r="BL78" s="241"/>
      <c r="BM78" s="241"/>
      <c r="BN78" s="241"/>
      <c r="BO78" s="241"/>
      <c r="BP78" s="241"/>
      <c r="BQ78" s="241"/>
      <c r="BR78" s="243">
        <f t="shared" si="5"/>
        <v>0.9285714285714286</v>
      </c>
      <c r="BS78" s="243">
        <f t="shared" si="6"/>
        <v>4.7857142857142856</v>
      </c>
    </row>
    <row r="79" spans="1:71">
      <c r="A79" s="111">
        <v>2596</v>
      </c>
      <c r="B79" s="111" t="s">
        <v>52</v>
      </c>
      <c r="C79" s="241">
        <v>2</v>
      </c>
      <c r="D79" s="241">
        <v>43763</v>
      </c>
      <c r="E79" s="241">
        <v>43791</v>
      </c>
      <c r="F79" s="241"/>
      <c r="G79" s="241"/>
      <c r="H79" s="241"/>
      <c r="I79" s="241"/>
      <c r="J79" s="241"/>
      <c r="K79" s="241"/>
      <c r="L79" s="241"/>
      <c r="M79" s="241">
        <v>874</v>
      </c>
      <c r="N79" s="241">
        <v>1281.2</v>
      </c>
      <c r="O79" s="241"/>
      <c r="P79" s="241"/>
      <c r="Q79" s="241"/>
      <c r="R79" s="241"/>
      <c r="S79" s="241"/>
      <c r="T79" s="241"/>
      <c r="U79" s="241"/>
      <c r="V79" s="241">
        <v>2.1</v>
      </c>
      <c r="W79" s="241">
        <v>2.2400000000000002</v>
      </c>
      <c r="X79" s="241"/>
      <c r="Y79" s="241"/>
      <c r="Z79" s="241"/>
      <c r="AA79" s="241"/>
      <c r="AB79" s="241"/>
      <c r="AC79" s="241"/>
      <c r="AD79" s="241"/>
      <c r="AE79" s="241">
        <v>47.32</v>
      </c>
      <c r="AF79" s="241">
        <v>55.19</v>
      </c>
      <c r="AG79" s="241"/>
      <c r="AH79" s="241"/>
      <c r="AI79" s="241"/>
      <c r="AJ79" s="241"/>
      <c r="AK79" s="241"/>
      <c r="AL79" s="241"/>
      <c r="AM79" s="241"/>
      <c r="AN79" s="241">
        <v>1064.53</v>
      </c>
      <c r="AO79" s="241">
        <v>925.21</v>
      </c>
      <c r="AP79" s="241"/>
      <c r="AQ79" s="241"/>
      <c r="AR79" s="241"/>
      <c r="AS79" s="241"/>
      <c r="AT79" s="241"/>
      <c r="AU79" s="241"/>
      <c r="AV79" s="241"/>
      <c r="AW79" s="241">
        <v>23</v>
      </c>
      <c r="AX79" s="241">
        <v>43693</v>
      </c>
      <c r="AY79" s="241">
        <f t="shared" si="4"/>
        <v>-2</v>
      </c>
      <c r="AZ79" s="241">
        <v>23</v>
      </c>
      <c r="BA79" s="241">
        <v>43693</v>
      </c>
      <c r="BB79" s="241">
        <v>-2</v>
      </c>
      <c r="BC79" s="241">
        <v>21</v>
      </c>
      <c r="BD79" s="241">
        <v>43878</v>
      </c>
      <c r="BE79" s="241">
        <v>4</v>
      </c>
      <c r="BF79" s="241"/>
      <c r="BG79" s="241"/>
      <c r="BH79" s="241"/>
      <c r="BI79" s="241"/>
      <c r="BJ79" s="241"/>
      <c r="BK79" s="241"/>
      <c r="BL79" s="241"/>
      <c r="BM79" s="241"/>
      <c r="BN79" s="241"/>
      <c r="BO79" s="241"/>
      <c r="BP79" s="241"/>
      <c r="BQ79" s="241"/>
      <c r="BR79" s="243">
        <f t="shared" si="5"/>
        <v>6.6071428571428568</v>
      </c>
      <c r="BS79" s="243">
        <f t="shared" si="6"/>
        <v>-1560.4642857142858</v>
      </c>
    </row>
    <row r="80" spans="1:71">
      <c r="A80" s="111">
        <v>2595</v>
      </c>
      <c r="B80" s="111" t="s">
        <v>53</v>
      </c>
      <c r="C80" s="241">
        <v>3</v>
      </c>
      <c r="D80" s="241">
        <v>43753</v>
      </c>
      <c r="E80" s="241">
        <v>43781</v>
      </c>
      <c r="F80" s="241">
        <v>43880</v>
      </c>
      <c r="G80" s="241"/>
      <c r="H80" s="241"/>
      <c r="I80" s="241"/>
      <c r="J80" s="241"/>
      <c r="K80" s="241"/>
      <c r="L80" s="241"/>
      <c r="M80" s="241">
        <v>988.7</v>
      </c>
      <c r="N80" s="241">
        <v>943.8</v>
      </c>
      <c r="O80" s="241">
        <v>2534.1</v>
      </c>
      <c r="P80" s="241"/>
      <c r="Q80" s="241"/>
      <c r="R80" s="241"/>
      <c r="S80" s="241"/>
      <c r="T80" s="241"/>
      <c r="U80" s="241"/>
      <c r="V80" s="241">
        <v>3.34</v>
      </c>
      <c r="W80" s="241">
        <v>17.78</v>
      </c>
      <c r="X80" s="241">
        <v>26.8</v>
      </c>
      <c r="Y80" s="241"/>
      <c r="Z80" s="241"/>
      <c r="AA80" s="241"/>
      <c r="AB80" s="241"/>
      <c r="AC80" s="241"/>
      <c r="AD80" s="241"/>
      <c r="AE80" s="241">
        <v>56.06</v>
      </c>
      <c r="AF80" s="241">
        <v>97.95</v>
      </c>
      <c r="AG80" s="241">
        <v>69.62</v>
      </c>
      <c r="AH80" s="241"/>
      <c r="AI80" s="241"/>
      <c r="AJ80" s="241"/>
      <c r="AK80" s="241"/>
      <c r="AL80" s="241"/>
      <c r="AM80" s="241"/>
      <c r="AN80" s="241">
        <v>998.35</v>
      </c>
      <c r="AO80" s="241">
        <v>743.71</v>
      </c>
      <c r="AP80" s="241">
        <v>974.53</v>
      </c>
      <c r="AQ80" s="241"/>
      <c r="AR80" s="241"/>
      <c r="AS80" s="241"/>
      <c r="AT80" s="241"/>
      <c r="AU80" s="241"/>
      <c r="AV80" s="241"/>
      <c r="AW80" s="241">
        <v>30</v>
      </c>
      <c r="AX80" s="241">
        <v>43685</v>
      </c>
      <c r="AY80" s="241">
        <f t="shared" si="4"/>
        <v>-2</v>
      </c>
      <c r="AZ80" s="241">
        <v>28</v>
      </c>
      <c r="BA80" s="241">
        <v>43753</v>
      </c>
      <c r="BB80" s="241">
        <v>0</v>
      </c>
      <c r="BC80" s="241">
        <v>25</v>
      </c>
      <c r="BD80" s="241">
        <v>43781</v>
      </c>
      <c r="BE80" s="241">
        <v>1</v>
      </c>
      <c r="BF80" s="241">
        <v>25</v>
      </c>
      <c r="BG80" s="241">
        <v>43881</v>
      </c>
      <c r="BH80" s="241">
        <v>4</v>
      </c>
      <c r="BI80" s="241"/>
      <c r="BJ80" s="241"/>
      <c r="BK80" s="241"/>
      <c r="BL80" s="241"/>
      <c r="BM80" s="241"/>
      <c r="BN80" s="241"/>
      <c r="BO80" s="241"/>
      <c r="BP80" s="241"/>
      <c r="BQ80" s="241"/>
      <c r="BR80" s="243">
        <f t="shared" si="5"/>
        <v>1</v>
      </c>
      <c r="BS80" s="243">
        <f t="shared" si="6"/>
        <v>4.5714285714285712</v>
      </c>
    </row>
    <row r="81" spans="1:71">
      <c r="A81" s="111">
        <v>2636</v>
      </c>
      <c r="B81" s="111" t="s">
        <v>80</v>
      </c>
      <c r="C81" s="241">
        <v>2</v>
      </c>
      <c r="D81" s="241">
        <v>43789</v>
      </c>
      <c r="E81" s="241">
        <v>43873</v>
      </c>
      <c r="F81" s="241"/>
      <c r="G81" s="241"/>
      <c r="H81" s="241"/>
      <c r="I81" s="241"/>
      <c r="J81" s="241"/>
      <c r="K81" s="241"/>
      <c r="L81" s="241"/>
      <c r="M81" s="241">
        <v>652.1</v>
      </c>
      <c r="N81" s="241">
        <v>734.2</v>
      </c>
      <c r="O81" s="241"/>
      <c r="P81" s="241"/>
      <c r="Q81" s="241"/>
      <c r="R81" s="241"/>
      <c r="S81" s="241"/>
      <c r="T81" s="241"/>
      <c r="U81" s="241"/>
      <c r="V81" s="241">
        <v>1.75</v>
      </c>
      <c r="W81" s="241">
        <v>2.5499999999999998</v>
      </c>
      <c r="X81" s="241"/>
      <c r="Y81" s="241"/>
      <c r="Z81" s="241"/>
      <c r="AA81" s="241"/>
      <c r="AB81" s="241"/>
      <c r="AC81" s="241"/>
      <c r="AD81" s="241"/>
      <c r="AE81" s="241">
        <v>27.39</v>
      </c>
      <c r="AF81" s="241">
        <v>29.58</v>
      </c>
      <c r="AG81" s="241"/>
      <c r="AH81" s="241"/>
      <c r="AI81" s="241"/>
      <c r="AJ81" s="241"/>
      <c r="AK81" s="241"/>
      <c r="AL81" s="241"/>
      <c r="AM81" s="241"/>
      <c r="AN81" s="241">
        <v>1772.96</v>
      </c>
      <c r="AO81" s="241">
        <v>1742.05</v>
      </c>
      <c r="AP81" s="241"/>
      <c r="AQ81" s="241"/>
      <c r="AR81" s="241"/>
      <c r="AS81" s="241"/>
      <c r="AT81" s="241"/>
      <c r="AU81" s="241"/>
      <c r="AV81" s="241"/>
      <c r="AW81" s="241">
        <v>30</v>
      </c>
      <c r="AX81" s="241">
        <v>43749</v>
      </c>
      <c r="AY81" s="241">
        <f t="shared" si="4"/>
        <v>-1</v>
      </c>
      <c r="AZ81" s="241">
        <v>26</v>
      </c>
      <c r="BA81" s="241">
        <v>43791</v>
      </c>
      <c r="BB81" s="241">
        <v>0</v>
      </c>
      <c r="BC81" s="241">
        <v>22</v>
      </c>
      <c r="BD81" s="241">
        <v>43872</v>
      </c>
      <c r="BE81" s="241">
        <v>3</v>
      </c>
      <c r="BF81" s="241"/>
      <c r="BG81" s="241"/>
      <c r="BH81" s="241"/>
      <c r="BI81" s="241"/>
      <c r="BJ81" s="241"/>
      <c r="BK81" s="241"/>
      <c r="BL81" s="241"/>
      <c r="BM81" s="241"/>
      <c r="BN81" s="241"/>
      <c r="BO81" s="241"/>
      <c r="BP81" s="241"/>
      <c r="BQ81" s="241"/>
      <c r="BR81" s="243">
        <f t="shared" si="5"/>
        <v>2.8928571428571428</v>
      </c>
      <c r="BS81" s="243">
        <f t="shared" si="6"/>
        <v>-1563.9642857142858</v>
      </c>
    </row>
    <row r="82" spans="1:71">
      <c r="A82" s="111">
        <v>2428</v>
      </c>
      <c r="B82" s="111" t="s">
        <v>78</v>
      </c>
      <c r="C82" s="241">
        <v>3</v>
      </c>
      <c r="D82" s="241">
        <v>43629</v>
      </c>
      <c r="E82" s="241">
        <v>43697</v>
      </c>
      <c r="F82" s="241">
        <v>43760</v>
      </c>
      <c r="G82" s="241"/>
      <c r="H82" s="241"/>
      <c r="I82" s="241"/>
      <c r="J82" s="241"/>
      <c r="K82" s="241"/>
      <c r="L82" s="241"/>
      <c r="M82" s="241">
        <v>642</v>
      </c>
      <c r="N82" s="241">
        <v>227.2</v>
      </c>
      <c r="O82" s="241">
        <v>516.59999999999991</v>
      </c>
      <c r="P82" s="241"/>
      <c r="Q82" s="241"/>
      <c r="R82" s="241"/>
      <c r="S82" s="241"/>
      <c r="T82" s="241"/>
      <c r="U82" s="241">
        <f>QUARTILE(V78:V83,1)</f>
        <v>1.8374999999999999</v>
      </c>
      <c r="V82" s="241">
        <v>0.35000000000000003</v>
      </c>
      <c r="W82" s="241">
        <v>1.825</v>
      </c>
      <c r="X82" s="241">
        <v>6.3249999999999993</v>
      </c>
      <c r="Y82" s="241"/>
      <c r="Z82" s="241"/>
      <c r="AA82" s="241"/>
      <c r="AB82" s="241"/>
      <c r="AC82" s="241"/>
      <c r="AD82" s="241">
        <f>QUARTILE(AE78:AE83,1)</f>
        <v>43.802499999999995</v>
      </c>
      <c r="AE82" s="241">
        <v>44.56</v>
      </c>
      <c r="AF82" s="241">
        <v>38.96</v>
      </c>
      <c r="AG82" s="241">
        <v>48.65</v>
      </c>
      <c r="AH82" s="241"/>
      <c r="AI82" s="241"/>
      <c r="AJ82" s="241"/>
      <c r="AK82" s="241"/>
      <c r="AL82" s="241"/>
      <c r="AM82" s="241">
        <f>QUARTILE(AN78:AN83,1)</f>
        <v>1077.6624999999999</v>
      </c>
      <c r="AN82" s="241">
        <v>1325.75</v>
      </c>
      <c r="AO82" s="241">
        <v>1110.21</v>
      </c>
      <c r="AP82" s="241">
        <v>1058.1199999999999</v>
      </c>
      <c r="AQ82" s="241"/>
      <c r="AR82" s="241"/>
      <c r="AS82" s="241"/>
      <c r="AT82" s="241"/>
      <c r="AU82" s="241"/>
      <c r="AV82" s="241"/>
      <c r="AW82" s="241">
        <v>43</v>
      </c>
      <c r="AX82" s="241">
        <v>43483</v>
      </c>
      <c r="AY82" s="241">
        <f t="shared" si="4"/>
        <v>-5</v>
      </c>
      <c r="AZ82" s="241">
        <v>42</v>
      </c>
      <c r="BA82" s="241">
        <v>43556</v>
      </c>
      <c r="BB82" s="241">
        <v>-2</v>
      </c>
      <c r="BC82" s="241">
        <v>41</v>
      </c>
      <c r="BD82" s="241">
        <v>43647</v>
      </c>
      <c r="BE82" s="241">
        <v>1</v>
      </c>
      <c r="BF82" s="241">
        <v>39</v>
      </c>
      <c r="BG82" s="241">
        <v>43731</v>
      </c>
      <c r="BH82" s="241">
        <v>3</v>
      </c>
      <c r="BI82" s="241">
        <v>34</v>
      </c>
      <c r="BJ82" s="241">
        <v>43822</v>
      </c>
      <c r="BK82" s="241">
        <v>6</v>
      </c>
      <c r="BL82" s="241">
        <v>32</v>
      </c>
      <c r="BM82" s="241">
        <v>43885</v>
      </c>
      <c r="BN82" s="241">
        <v>8</v>
      </c>
      <c r="BO82" s="241"/>
      <c r="BP82" s="241"/>
      <c r="BQ82" s="241"/>
      <c r="BR82" s="243">
        <f t="shared" si="5"/>
        <v>3.25</v>
      </c>
      <c r="BS82" s="243">
        <f t="shared" si="6"/>
        <v>6.25</v>
      </c>
    </row>
    <row r="83" spans="1:71">
      <c r="A83" s="111">
        <v>2652</v>
      </c>
      <c r="B83" s="111" t="s">
        <v>47</v>
      </c>
      <c r="C83" s="241">
        <v>2</v>
      </c>
      <c r="D83" s="241">
        <v>43810</v>
      </c>
      <c r="E83" s="241">
        <v>43838</v>
      </c>
      <c r="F83" s="241"/>
      <c r="G83" s="241"/>
      <c r="H83" s="241"/>
      <c r="I83" s="241"/>
      <c r="J83" s="241"/>
      <c r="K83" s="241"/>
      <c r="L83" s="241"/>
      <c r="M83" s="241">
        <v>1143.0999999999999</v>
      </c>
      <c r="N83" s="241">
        <v>1008.3</v>
      </c>
      <c r="O83" s="241"/>
      <c r="P83" s="241"/>
      <c r="Q83" s="241"/>
      <c r="R83" s="241"/>
      <c r="S83" s="241"/>
      <c r="T83" s="241"/>
      <c r="U83" s="241"/>
      <c r="V83" s="241">
        <v>2.4500000000000002</v>
      </c>
      <c r="W83" s="241">
        <v>3.47</v>
      </c>
      <c r="X83" s="241"/>
      <c r="Y83" s="241"/>
      <c r="Z83" s="241"/>
      <c r="AA83" s="241"/>
      <c r="AB83" s="241"/>
      <c r="AC83" s="241"/>
      <c r="AD83" s="241"/>
      <c r="AE83" s="241">
        <v>43.55</v>
      </c>
      <c r="AF83" s="241">
        <v>60.4</v>
      </c>
      <c r="AG83" s="241"/>
      <c r="AH83" s="241"/>
      <c r="AI83" s="241"/>
      <c r="AJ83" s="241"/>
      <c r="AK83" s="241"/>
      <c r="AL83" s="241"/>
      <c r="AM83" s="241"/>
      <c r="AN83" s="241">
        <v>2472.2399999999998</v>
      </c>
      <c r="AO83" s="241">
        <v>1246.6500000000001</v>
      </c>
      <c r="AP83" s="241"/>
      <c r="AQ83" s="241"/>
      <c r="AR83" s="241"/>
      <c r="AS83" s="241"/>
      <c r="AT83" s="241"/>
      <c r="AU83" s="241"/>
      <c r="AV83" s="241"/>
      <c r="AW83" s="241">
        <v>35</v>
      </c>
      <c r="AX83" s="241">
        <v>43769</v>
      </c>
      <c r="AY83" s="241">
        <f t="shared" si="4"/>
        <v>-1</v>
      </c>
      <c r="AZ83" s="241">
        <v>35</v>
      </c>
      <c r="BA83" s="241">
        <v>43769</v>
      </c>
      <c r="BB83" s="241">
        <v>-1</v>
      </c>
      <c r="BC83" s="241">
        <v>34</v>
      </c>
      <c r="BD83" s="241">
        <v>43810</v>
      </c>
      <c r="BE83" s="241"/>
      <c r="BF83" s="241">
        <v>33</v>
      </c>
      <c r="BG83" s="241">
        <v>43838</v>
      </c>
      <c r="BH83" s="241"/>
      <c r="BI83" s="241"/>
      <c r="BJ83" s="241"/>
      <c r="BK83" s="241"/>
      <c r="BL83" s="241"/>
      <c r="BM83" s="241"/>
      <c r="BN83" s="241"/>
      <c r="BO83" s="241"/>
      <c r="BP83" s="241"/>
      <c r="BQ83" s="241"/>
      <c r="BR83" s="243">
        <f t="shared" si="5"/>
        <v>1.4642857142857142</v>
      </c>
      <c r="BS83" s="243">
        <f t="shared" si="6"/>
        <v>2.4642857142857144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3"/>
  <sheetViews>
    <sheetView workbookViewId="0">
      <selection activeCell="G1" sqref="G1"/>
    </sheetView>
  </sheetViews>
  <sheetFormatPr defaultRowHeight="16.5"/>
  <sheetData>
    <row r="1" spans="1:46">
      <c r="A1" s="239" t="s">
        <v>0</v>
      </c>
      <c r="B1" s="2" t="s">
        <v>679</v>
      </c>
      <c r="C1" s="1" t="s">
        <v>680</v>
      </c>
      <c r="D1" s="96" t="s">
        <v>229</v>
      </c>
      <c r="E1" s="96" t="s">
        <v>230</v>
      </c>
      <c r="F1" s="96" t="s">
        <v>238</v>
      </c>
      <c r="G1" s="96" t="s">
        <v>239</v>
      </c>
      <c r="H1" s="96" t="s">
        <v>247</v>
      </c>
      <c r="I1" s="96" t="s">
        <v>248</v>
      </c>
      <c r="J1" s="96" t="s">
        <v>249</v>
      </c>
      <c r="K1" s="96" t="s">
        <v>250</v>
      </c>
      <c r="L1" s="96" t="s">
        <v>251</v>
      </c>
      <c r="M1" s="96" t="s">
        <v>252</v>
      </c>
      <c r="N1" s="96" t="s">
        <v>253</v>
      </c>
      <c r="O1" s="96" t="s">
        <v>254</v>
      </c>
      <c r="P1" s="96" t="s">
        <v>255</v>
      </c>
      <c r="Q1" s="96" t="s">
        <v>256</v>
      </c>
      <c r="R1" s="96" t="s">
        <v>257</v>
      </c>
      <c r="S1" s="96" t="s">
        <v>258</v>
      </c>
      <c r="T1" s="96" t="s">
        <v>259</v>
      </c>
      <c r="U1" s="96" t="s">
        <v>260</v>
      </c>
      <c r="V1" s="96" t="s">
        <v>261</v>
      </c>
      <c r="W1" s="96" t="s">
        <v>262</v>
      </c>
      <c r="X1" s="96" t="s">
        <v>263</v>
      </c>
      <c r="Y1" s="96" t="s">
        <v>264</v>
      </c>
      <c r="Z1" s="240" t="s">
        <v>475</v>
      </c>
      <c r="AA1" s="14" t="s">
        <v>266</v>
      </c>
      <c r="AB1" s="15" t="s">
        <v>672</v>
      </c>
      <c r="AC1" s="240" t="s">
        <v>174</v>
      </c>
      <c r="AD1" s="14" t="s">
        <v>175</v>
      </c>
      <c r="AE1" s="15" t="s">
        <v>673</v>
      </c>
      <c r="AF1" s="240" t="s">
        <v>176</v>
      </c>
      <c r="AG1" s="14" t="s">
        <v>177</v>
      </c>
      <c r="AH1" s="15" t="s">
        <v>674</v>
      </c>
      <c r="AI1" s="240" t="s">
        <v>178</v>
      </c>
      <c r="AJ1" s="14" t="s">
        <v>179</v>
      </c>
      <c r="AK1" s="15" t="s">
        <v>675</v>
      </c>
      <c r="AL1" s="240" t="s">
        <v>180</v>
      </c>
      <c r="AM1" s="14" t="s">
        <v>181</v>
      </c>
      <c r="AN1" s="15" t="s">
        <v>676</v>
      </c>
      <c r="AO1" s="240" t="s">
        <v>182</v>
      </c>
      <c r="AP1" s="14" t="s">
        <v>183</v>
      </c>
      <c r="AQ1" s="15" t="s">
        <v>677</v>
      </c>
      <c r="AR1" s="240" t="s">
        <v>184</v>
      </c>
      <c r="AS1" s="14" t="s">
        <v>185</v>
      </c>
      <c r="AT1" s="15" t="s">
        <v>678</v>
      </c>
    </row>
    <row r="2" spans="1:46">
      <c r="A2" s="241">
        <v>1230</v>
      </c>
      <c r="B2" s="111" t="s">
        <v>33</v>
      </c>
      <c r="C2" s="241">
        <v>2</v>
      </c>
      <c r="D2" s="241">
        <v>890.5</v>
      </c>
      <c r="E2" s="241">
        <v>2800.7</v>
      </c>
      <c r="F2" s="241">
        <v>2.6</v>
      </c>
      <c r="G2" s="241">
        <v>5.74</v>
      </c>
      <c r="H2" s="241">
        <v>45.39</v>
      </c>
      <c r="I2" s="241">
        <v>107.31</v>
      </c>
      <c r="J2" s="241"/>
      <c r="K2" s="241"/>
      <c r="L2" s="241"/>
      <c r="M2" s="241"/>
      <c r="N2" s="241"/>
      <c r="O2" s="241"/>
      <c r="P2" s="241"/>
      <c r="Q2" s="241">
        <v>986.7</v>
      </c>
      <c r="R2" s="241">
        <v>1341.7</v>
      </c>
      <c r="S2" s="241"/>
      <c r="T2" s="241"/>
      <c r="U2" s="241"/>
      <c r="V2" s="241"/>
      <c r="W2" s="241"/>
      <c r="X2" s="241"/>
      <c r="Y2" s="241"/>
      <c r="Z2" s="241">
        <v>41</v>
      </c>
      <c r="AA2" s="241">
        <v>41806</v>
      </c>
      <c r="AB2" s="241" t="e">
        <f>ROUND((AA2-#REF!)/30.5,0)</f>
        <v>#REF!</v>
      </c>
      <c r="AC2" s="241">
        <v>34</v>
      </c>
      <c r="AD2" s="241">
        <v>42075</v>
      </c>
      <c r="AE2" s="241">
        <v>0</v>
      </c>
      <c r="AF2" s="241">
        <v>28</v>
      </c>
      <c r="AG2" s="241">
        <v>42191</v>
      </c>
      <c r="AH2" s="241">
        <v>4</v>
      </c>
      <c r="AI2" s="241">
        <v>26</v>
      </c>
      <c r="AJ2" s="241">
        <v>42282</v>
      </c>
      <c r="AK2" s="241">
        <v>7</v>
      </c>
      <c r="AL2" s="241">
        <v>22</v>
      </c>
      <c r="AM2" s="241">
        <v>42506</v>
      </c>
      <c r="AN2" s="241">
        <v>14</v>
      </c>
      <c r="AO2" s="241">
        <v>4</v>
      </c>
      <c r="AP2" s="241">
        <v>42801</v>
      </c>
      <c r="AQ2" s="241">
        <v>24</v>
      </c>
      <c r="AR2" s="241">
        <v>1</v>
      </c>
      <c r="AS2" s="241">
        <v>43129</v>
      </c>
      <c r="AT2" s="241">
        <v>35</v>
      </c>
    </row>
    <row r="3" spans="1:46">
      <c r="A3" s="111">
        <v>1154</v>
      </c>
      <c r="B3" s="111" t="s">
        <v>82</v>
      </c>
      <c r="C3" s="241">
        <v>10</v>
      </c>
      <c r="D3" s="241">
        <v>720.5</v>
      </c>
      <c r="E3" s="241"/>
      <c r="F3" s="241">
        <v>2.1</v>
      </c>
      <c r="G3" s="241"/>
      <c r="H3" s="241">
        <v>34.619999999999997</v>
      </c>
      <c r="I3" s="241"/>
      <c r="J3" s="241"/>
      <c r="K3" s="241"/>
      <c r="L3" s="241"/>
      <c r="M3" s="241">
        <v>94.67</v>
      </c>
      <c r="N3" s="241">
        <v>48.17</v>
      </c>
      <c r="O3" s="241">
        <v>52.22</v>
      </c>
      <c r="P3" s="241"/>
      <c r="Q3" s="241">
        <v>1015.08</v>
      </c>
      <c r="R3" s="241"/>
      <c r="S3" s="241"/>
      <c r="T3" s="241"/>
      <c r="U3" s="241"/>
      <c r="V3" s="241">
        <v>1113.72</v>
      </c>
      <c r="W3" s="241">
        <v>817.8</v>
      </c>
      <c r="X3" s="241">
        <v>515.89</v>
      </c>
      <c r="Y3" s="241"/>
      <c r="Z3" s="241">
        <v>38</v>
      </c>
      <c r="AA3" s="241">
        <v>41689</v>
      </c>
      <c r="AB3" s="241" t="e">
        <f>ROUND((AA3-#REF!)/30.5,0)</f>
        <v>#REF!</v>
      </c>
      <c r="AC3" s="241">
        <v>29</v>
      </c>
      <c r="AD3" s="241">
        <v>42089</v>
      </c>
      <c r="AE3" s="241">
        <v>0</v>
      </c>
      <c r="AF3" s="241">
        <v>25</v>
      </c>
      <c r="AG3" s="241">
        <v>42198</v>
      </c>
      <c r="AH3" s="241">
        <v>4</v>
      </c>
      <c r="AI3" s="241">
        <v>25</v>
      </c>
      <c r="AJ3" s="241">
        <v>42254</v>
      </c>
      <c r="AK3" s="241">
        <v>5</v>
      </c>
      <c r="AL3" s="241">
        <v>21</v>
      </c>
      <c r="AM3" s="241">
        <v>42464</v>
      </c>
      <c r="AN3" s="241">
        <v>12</v>
      </c>
      <c r="AO3" s="241">
        <v>18</v>
      </c>
      <c r="AP3" s="241">
        <v>42779</v>
      </c>
      <c r="AQ3" s="241">
        <v>23</v>
      </c>
      <c r="AR3" s="241">
        <v>18</v>
      </c>
      <c r="AS3" s="241">
        <v>43108</v>
      </c>
      <c r="AT3" s="241">
        <v>33</v>
      </c>
    </row>
    <row r="4" spans="1:46">
      <c r="A4" s="111">
        <v>986</v>
      </c>
      <c r="B4" s="111" t="s">
        <v>57</v>
      </c>
      <c r="C4" s="241">
        <v>2</v>
      </c>
      <c r="D4" s="241">
        <v>1218.3</v>
      </c>
      <c r="E4" s="241">
        <v>1859.8</v>
      </c>
      <c r="F4" s="241">
        <v>3.89</v>
      </c>
      <c r="G4" s="241">
        <v>6.16</v>
      </c>
      <c r="H4" s="241">
        <v>58.25</v>
      </c>
      <c r="I4" s="241">
        <v>50.31</v>
      </c>
      <c r="J4" s="241"/>
      <c r="K4" s="241"/>
      <c r="L4" s="241"/>
      <c r="M4" s="241"/>
      <c r="N4" s="241"/>
      <c r="O4" s="241"/>
      <c r="P4" s="241"/>
      <c r="Q4" s="241">
        <v>1756.36</v>
      </c>
      <c r="R4" s="241">
        <v>1003.54</v>
      </c>
      <c r="S4" s="241"/>
      <c r="T4" s="241"/>
      <c r="U4" s="241"/>
      <c r="V4" s="241"/>
      <c r="W4" s="241"/>
      <c r="X4" s="241"/>
      <c r="Y4" s="241"/>
      <c r="Z4" s="241">
        <v>43</v>
      </c>
      <c r="AA4" s="241">
        <v>41373</v>
      </c>
      <c r="AB4" s="241" t="e">
        <f>ROUND((AA4-#REF!)/30.5,0)</f>
        <v>#REF!</v>
      </c>
      <c r="AC4" s="241">
        <v>30</v>
      </c>
      <c r="AD4" s="241">
        <v>42096</v>
      </c>
      <c r="AE4" s="241">
        <v>0</v>
      </c>
      <c r="AF4" s="241">
        <v>21</v>
      </c>
      <c r="AG4" s="241">
        <v>42268</v>
      </c>
      <c r="AH4" s="241">
        <v>6</v>
      </c>
      <c r="AI4" s="241">
        <v>6</v>
      </c>
      <c r="AJ4" s="241">
        <v>42502</v>
      </c>
      <c r="AK4" s="241">
        <v>13</v>
      </c>
      <c r="AL4" s="241"/>
      <c r="AM4" s="241"/>
      <c r="AN4" s="241"/>
      <c r="AO4" s="241"/>
      <c r="AP4" s="241"/>
      <c r="AQ4" s="241"/>
      <c r="AR4" s="241"/>
      <c r="AS4" s="241"/>
      <c r="AT4" s="241"/>
    </row>
    <row r="5" spans="1:46">
      <c r="A5" s="111">
        <v>1252</v>
      </c>
      <c r="B5" s="111" t="s">
        <v>30</v>
      </c>
      <c r="C5" s="241">
        <v>2</v>
      </c>
      <c r="D5" s="241">
        <v>701.59999999999991</v>
      </c>
      <c r="E5" s="241">
        <v>1271.0999999999999</v>
      </c>
      <c r="F5" s="241">
        <v>2.31</v>
      </c>
      <c r="G5" s="241">
        <v>2.46</v>
      </c>
      <c r="H5" s="241">
        <v>52.51</v>
      </c>
      <c r="I5" s="241">
        <v>51.88</v>
      </c>
      <c r="J5" s="241"/>
      <c r="K5" s="241"/>
      <c r="L5" s="241"/>
      <c r="M5" s="241"/>
      <c r="N5" s="241"/>
      <c r="O5" s="241"/>
      <c r="P5" s="241"/>
      <c r="Q5" s="241">
        <v>936.85</v>
      </c>
      <c r="R5" s="241">
        <v>1082.49</v>
      </c>
      <c r="S5" s="241"/>
      <c r="T5" s="241"/>
      <c r="U5" s="241"/>
      <c r="V5" s="241"/>
      <c r="W5" s="241"/>
      <c r="X5" s="241"/>
      <c r="Y5" s="241"/>
      <c r="Z5" s="241">
        <v>41</v>
      </c>
      <c r="AA5" s="241">
        <v>41837</v>
      </c>
      <c r="AB5" s="241" t="e">
        <f>ROUND((AA5-#REF!)/30.5,0)</f>
        <v>#REF!</v>
      </c>
      <c r="AC5" s="241">
        <v>36</v>
      </c>
      <c r="AD5" s="241">
        <v>42097</v>
      </c>
      <c r="AE5" s="241">
        <v>0</v>
      </c>
      <c r="AF5" s="241">
        <v>33</v>
      </c>
      <c r="AG5" s="241">
        <v>42191</v>
      </c>
      <c r="AH5" s="241">
        <v>3</v>
      </c>
      <c r="AI5" s="241">
        <v>31</v>
      </c>
      <c r="AJ5" s="241">
        <v>42296</v>
      </c>
      <c r="AK5" s="241">
        <v>7</v>
      </c>
      <c r="AL5" s="241">
        <v>26</v>
      </c>
      <c r="AM5" s="241">
        <v>42478</v>
      </c>
      <c r="AN5" s="241">
        <v>13</v>
      </c>
      <c r="AO5" s="241">
        <v>22</v>
      </c>
      <c r="AP5" s="241">
        <v>42779</v>
      </c>
      <c r="AQ5" s="241">
        <v>22</v>
      </c>
      <c r="AR5" s="241"/>
      <c r="AS5" s="241"/>
      <c r="AT5" s="241"/>
    </row>
    <row r="6" spans="1:46">
      <c r="A6" s="111">
        <v>1361</v>
      </c>
      <c r="B6" s="111" t="s">
        <v>46</v>
      </c>
      <c r="C6" s="241">
        <v>2</v>
      </c>
      <c r="D6" s="241">
        <v>1466.2</v>
      </c>
      <c r="E6" s="241">
        <v>4627.7</v>
      </c>
      <c r="F6" s="241">
        <v>3.46</v>
      </c>
      <c r="G6" s="241">
        <v>7.99</v>
      </c>
      <c r="H6" s="241">
        <v>46.4</v>
      </c>
      <c r="I6" s="241">
        <v>94.06</v>
      </c>
      <c r="J6" s="241"/>
      <c r="K6" s="241"/>
      <c r="L6" s="241"/>
      <c r="M6" s="241"/>
      <c r="N6" s="241"/>
      <c r="O6" s="241"/>
      <c r="P6" s="241"/>
      <c r="Q6" s="241">
        <v>1980.19</v>
      </c>
      <c r="R6" s="241">
        <v>1237.17</v>
      </c>
      <c r="S6" s="241"/>
      <c r="T6" s="241"/>
      <c r="U6" s="241"/>
      <c r="V6" s="241"/>
      <c r="W6" s="241"/>
      <c r="X6" s="241"/>
      <c r="Y6" s="241"/>
      <c r="Z6" s="241">
        <v>43</v>
      </c>
      <c r="AA6" s="241">
        <v>41953</v>
      </c>
      <c r="AB6" s="241" t="e">
        <f>ROUND((AA6-#REF!)/30.5,0)</f>
        <v>#REF!</v>
      </c>
      <c r="AC6" s="241">
        <v>37</v>
      </c>
      <c r="AD6" s="241">
        <v>42110</v>
      </c>
      <c r="AE6" s="241">
        <v>0</v>
      </c>
      <c r="AF6" s="241">
        <v>37</v>
      </c>
      <c r="AG6" s="241">
        <v>42198</v>
      </c>
      <c r="AH6" s="241">
        <v>3</v>
      </c>
      <c r="AI6" s="241">
        <v>16</v>
      </c>
      <c r="AJ6" s="241">
        <v>42289</v>
      </c>
      <c r="AK6" s="241">
        <v>6</v>
      </c>
      <c r="AL6" s="241">
        <v>13</v>
      </c>
      <c r="AM6" s="241">
        <v>42489</v>
      </c>
      <c r="AN6" s="241">
        <v>12</v>
      </c>
      <c r="AO6" s="241"/>
      <c r="AP6" s="241"/>
      <c r="AQ6" s="241"/>
      <c r="AR6" s="241"/>
      <c r="AS6" s="241"/>
      <c r="AT6" s="241"/>
    </row>
    <row r="7" spans="1:46">
      <c r="A7" s="111">
        <v>1265</v>
      </c>
      <c r="B7" s="111" t="s">
        <v>5</v>
      </c>
      <c r="C7" s="241">
        <v>4</v>
      </c>
      <c r="D7" s="241">
        <v>943.7</v>
      </c>
      <c r="E7" s="241">
        <v>2024.1</v>
      </c>
      <c r="F7" s="241">
        <v>1.04</v>
      </c>
      <c r="G7" s="241">
        <v>1.33</v>
      </c>
      <c r="H7" s="241">
        <v>30.84</v>
      </c>
      <c r="I7" s="241">
        <v>55.06</v>
      </c>
      <c r="J7" s="241">
        <v>25.92</v>
      </c>
      <c r="K7" s="241">
        <v>26.06</v>
      </c>
      <c r="L7" s="241"/>
      <c r="M7" s="241"/>
      <c r="N7" s="241"/>
      <c r="O7" s="241"/>
      <c r="P7" s="241"/>
      <c r="Q7" s="241">
        <v>864.32399999999996</v>
      </c>
      <c r="R7" s="241">
        <v>670.89</v>
      </c>
      <c r="S7" s="241">
        <v>590.99400000000003</v>
      </c>
      <c r="T7" s="241">
        <v>632.66399999999999</v>
      </c>
      <c r="U7" s="241"/>
      <c r="V7" s="241"/>
      <c r="W7" s="241"/>
      <c r="X7" s="241"/>
      <c r="Y7" s="241"/>
      <c r="Z7" s="241">
        <v>41</v>
      </c>
      <c r="AA7" s="241">
        <v>41858</v>
      </c>
      <c r="AB7" s="241" t="e">
        <f>ROUND((AA7-#REF!)/30.5,0)</f>
        <v>#REF!</v>
      </c>
      <c r="AC7" s="241">
        <v>34</v>
      </c>
      <c r="AD7" s="241">
        <v>42111</v>
      </c>
      <c r="AE7" s="241">
        <v>0</v>
      </c>
      <c r="AF7" s="241">
        <v>33</v>
      </c>
      <c r="AG7" s="241">
        <v>42240</v>
      </c>
      <c r="AH7" s="241">
        <v>4</v>
      </c>
      <c r="AI7" s="241">
        <v>33</v>
      </c>
      <c r="AJ7" s="241">
        <v>42359</v>
      </c>
      <c r="AK7" s="241">
        <v>8</v>
      </c>
      <c r="AL7" s="241">
        <v>31</v>
      </c>
      <c r="AM7" s="241">
        <v>42478</v>
      </c>
      <c r="AN7" s="241">
        <v>12</v>
      </c>
      <c r="AO7" s="241">
        <v>19</v>
      </c>
      <c r="AP7" s="241">
        <v>42814</v>
      </c>
      <c r="AQ7" s="241">
        <v>23</v>
      </c>
      <c r="AR7" s="241">
        <v>9</v>
      </c>
      <c r="AS7" s="241">
        <v>43145</v>
      </c>
      <c r="AT7" s="241">
        <v>34</v>
      </c>
    </row>
    <row r="8" spans="1:46">
      <c r="A8" s="111">
        <v>1186</v>
      </c>
      <c r="B8" s="111" t="s">
        <v>3</v>
      </c>
      <c r="C8" s="241">
        <v>4</v>
      </c>
      <c r="D8" s="241">
        <v>884.80000000000007</v>
      </c>
      <c r="E8" s="241">
        <v>1458.8999999999999</v>
      </c>
      <c r="F8" s="241">
        <v>0.75</v>
      </c>
      <c r="G8" s="241">
        <v>1.24</v>
      </c>
      <c r="H8" s="241">
        <v>43.24</v>
      </c>
      <c r="I8" s="241">
        <v>34.32</v>
      </c>
      <c r="J8" s="241">
        <v>35.17</v>
      </c>
      <c r="K8" s="241">
        <v>27.34</v>
      </c>
      <c r="L8" s="241"/>
      <c r="M8" s="241"/>
      <c r="N8" s="241"/>
      <c r="O8" s="241"/>
      <c r="P8" s="241"/>
      <c r="Q8" s="241">
        <v>625.25399999999991</v>
      </c>
      <c r="R8" s="241">
        <v>397.96199999999999</v>
      </c>
      <c r="S8" s="241">
        <v>517.24800000000005</v>
      </c>
      <c r="T8" s="241">
        <v>463.30799999999994</v>
      </c>
      <c r="U8" s="241"/>
      <c r="V8" s="241"/>
      <c r="W8" s="241"/>
      <c r="X8" s="241"/>
      <c r="Y8" s="241"/>
      <c r="Z8" s="241">
        <v>34</v>
      </c>
      <c r="AA8" s="241">
        <v>41908</v>
      </c>
      <c r="AB8" s="241" t="e">
        <f>ROUND((AA8-#REF!)/30.5,0)</f>
        <v>#REF!</v>
      </c>
      <c r="AC8" s="241">
        <v>26</v>
      </c>
      <c r="AD8" s="241">
        <v>42117</v>
      </c>
      <c r="AE8" s="241">
        <v>0</v>
      </c>
      <c r="AF8" s="241">
        <v>25</v>
      </c>
      <c r="AG8" s="241">
        <v>42156</v>
      </c>
      <c r="AH8" s="241">
        <v>1</v>
      </c>
      <c r="AI8" s="241">
        <v>25</v>
      </c>
      <c r="AJ8" s="241">
        <v>42488</v>
      </c>
      <c r="AK8" s="241">
        <f>ROUND((AJ8-AD8)/30.5,0.5)</f>
        <v>12</v>
      </c>
      <c r="AL8" s="241">
        <v>25</v>
      </c>
      <c r="AM8" s="241">
        <v>42583</v>
      </c>
      <c r="AN8" s="241">
        <f>ROUND((AM8-AD8)/30.5,0.5)</f>
        <v>15</v>
      </c>
      <c r="AO8" s="241">
        <v>24</v>
      </c>
      <c r="AP8" s="241">
        <v>42744</v>
      </c>
      <c r="AQ8" s="241">
        <f>ROUND((AP8-AD8)/30.5,0.5)</f>
        <v>21</v>
      </c>
      <c r="AR8" s="241">
        <v>23</v>
      </c>
      <c r="AS8" s="241">
        <v>42811</v>
      </c>
      <c r="AT8" s="241">
        <f>ROUND((AS8-AD8)/30.5,0.5)</f>
        <v>23</v>
      </c>
    </row>
    <row r="9" spans="1:46">
      <c r="A9" s="111">
        <v>1134</v>
      </c>
      <c r="B9" s="111" t="s">
        <v>54</v>
      </c>
      <c r="C9" s="241">
        <v>2</v>
      </c>
      <c r="D9" s="241">
        <v>1213.9000000000001</v>
      </c>
      <c r="E9" s="241">
        <v>1686</v>
      </c>
      <c r="F9" s="241">
        <v>4.32</v>
      </c>
      <c r="G9" s="241">
        <v>3.46</v>
      </c>
      <c r="H9" s="241">
        <v>60.16</v>
      </c>
      <c r="I9" s="241">
        <v>61.62</v>
      </c>
      <c r="J9" s="241"/>
      <c r="K9" s="241"/>
      <c r="L9" s="241"/>
      <c r="M9" s="241"/>
      <c r="N9" s="241"/>
      <c r="O9" s="241"/>
      <c r="P9" s="241"/>
      <c r="Q9" s="241">
        <v>1607.41</v>
      </c>
      <c r="R9" s="241">
        <v>1298.51</v>
      </c>
      <c r="S9" s="241"/>
      <c r="T9" s="241"/>
      <c r="U9" s="241"/>
      <c r="V9" s="241"/>
      <c r="W9" s="241"/>
      <c r="X9" s="241"/>
      <c r="Y9" s="241"/>
      <c r="Z9" s="241">
        <v>46</v>
      </c>
      <c r="AA9" s="241">
        <v>41661</v>
      </c>
      <c r="AB9" s="241" t="e">
        <f>ROUND((AA9-#REF!)/30.5,0)</f>
        <v>#REF!</v>
      </c>
      <c r="AC9" s="241">
        <v>37</v>
      </c>
      <c r="AD9" s="241">
        <v>42132</v>
      </c>
      <c r="AE9" s="241">
        <v>0</v>
      </c>
      <c r="AF9" s="241">
        <v>35</v>
      </c>
      <c r="AG9" s="241">
        <v>42282</v>
      </c>
      <c r="AH9" s="241">
        <v>5</v>
      </c>
      <c r="AI9" s="241">
        <v>27</v>
      </c>
      <c r="AJ9" s="241">
        <v>42562</v>
      </c>
      <c r="AK9" s="241">
        <v>14</v>
      </c>
      <c r="AL9" s="241">
        <v>19</v>
      </c>
      <c r="AM9" s="241">
        <v>42821</v>
      </c>
      <c r="AN9" s="241">
        <v>23</v>
      </c>
      <c r="AO9" s="241">
        <v>13</v>
      </c>
      <c r="AP9" s="241">
        <v>43192</v>
      </c>
      <c r="AQ9" s="241">
        <v>35</v>
      </c>
      <c r="AR9" s="241"/>
      <c r="AS9" s="241"/>
      <c r="AT9" s="241"/>
    </row>
    <row r="10" spans="1:46">
      <c r="A10" s="111">
        <v>1270</v>
      </c>
      <c r="B10" s="111" t="s">
        <v>7</v>
      </c>
      <c r="C10" s="241">
        <v>4</v>
      </c>
      <c r="D10" s="241">
        <v>1618</v>
      </c>
      <c r="E10" s="241">
        <v>1362.1000000000001</v>
      </c>
      <c r="F10" s="241">
        <v>1.63</v>
      </c>
      <c r="G10" s="241">
        <v>1.43</v>
      </c>
      <c r="H10" s="241">
        <v>43.01</v>
      </c>
      <c r="I10" s="241">
        <v>35.18</v>
      </c>
      <c r="J10" s="241">
        <v>50.32</v>
      </c>
      <c r="K10" s="241">
        <v>45.97</v>
      </c>
      <c r="L10" s="241"/>
      <c r="M10" s="241"/>
      <c r="N10" s="241"/>
      <c r="O10" s="241"/>
      <c r="P10" s="241"/>
      <c r="Q10" s="241">
        <v>650.28</v>
      </c>
      <c r="R10" s="241">
        <v>529.62599999999998</v>
      </c>
      <c r="S10" s="241">
        <v>892.24799999999993</v>
      </c>
      <c r="T10" s="241">
        <v>556.01400000000001</v>
      </c>
      <c r="U10" s="241"/>
      <c r="V10" s="241"/>
      <c r="W10" s="241"/>
      <c r="X10" s="241"/>
      <c r="Y10" s="241"/>
      <c r="Z10" s="241">
        <v>43</v>
      </c>
      <c r="AA10" s="241">
        <v>41858</v>
      </c>
      <c r="AB10" s="241" t="e">
        <f>ROUND((AA10-#REF!)/30.5,0)</f>
        <v>#REF!</v>
      </c>
      <c r="AC10" s="241">
        <v>39</v>
      </c>
      <c r="AD10" s="241">
        <v>42159</v>
      </c>
      <c r="AE10" s="241">
        <v>0</v>
      </c>
      <c r="AF10" s="241">
        <v>38</v>
      </c>
      <c r="AG10" s="241">
        <v>42296</v>
      </c>
      <c r="AH10" s="241">
        <v>5</v>
      </c>
      <c r="AI10" s="241">
        <v>35</v>
      </c>
      <c r="AJ10" s="241">
        <v>42394</v>
      </c>
      <c r="AK10" s="241">
        <f>ROUND((AJ10-AD10)/30.5,0.5)</f>
        <v>8</v>
      </c>
      <c r="AL10" s="241">
        <v>33</v>
      </c>
      <c r="AM10" s="241">
        <v>42481</v>
      </c>
      <c r="AN10" s="241">
        <f>ROUND((AM10-AD10)/30.5,0.5)</f>
        <v>11</v>
      </c>
      <c r="AO10" s="241">
        <v>31</v>
      </c>
      <c r="AP10" s="241">
        <v>42534</v>
      </c>
      <c r="AQ10" s="241">
        <f>ROUND((AP10-AD10)/30.5,0.5)</f>
        <v>12</v>
      </c>
      <c r="AR10" s="241">
        <v>31</v>
      </c>
      <c r="AS10" s="241">
        <v>42590</v>
      </c>
      <c r="AT10" s="241">
        <f>ROUND((AS10-AD10)/30.5,0.5)</f>
        <v>14</v>
      </c>
    </row>
    <row r="11" spans="1:46">
      <c r="A11" s="111">
        <v>1301</v>
      </c>
      <c r="B11" s="111" t="s">
        <v>42</v>
      </c>
      <c r="C11" s="241">
        <v>2</v>
      </c>
      <c r="D11" s="241">
        <v>885</v>
      </c>
      <c r="E11" s="241">
        <v>2557.5</v>
      </c>
      <c r="F11" s="241">
        <v>2.89</v>
      </c>
      <c r="G11" s="241">
        <v>5.03</v>
      </c>
      <c r="H11" s="241">
        <v>43.59</v>
      </c>
      <c r="I11" s="241">
        <v>102.62</v>
      </c>
      <c r="J11" s="241"/>
      <c r="K11" s="241"/>
      <c r="L11" s="241"/>
      <c r="M11" s="241"/>
      <c r="N11" s="241"/>
      <c r="O11" s="241"/>
      <c r="P11" s="241"/>
      <c r="Q11" s="241">
        <v>1221.46</v>
      </c>
      <c r="R11" s="241">
        <v>856.61</v>
      </c>
      <c r="S11" s="241"/>
      <c r="T11" s="241"/>
      <c r="U11" s="241"/>
      <c r="V11" s="241"/>
      <c r="W11" s="241"/>
      <c r="X11" s="241"/>
      <c r="Y11" s="241"/>
      <c r="Z11" s="241">
        <v>45</v>
      </c>
      <c r="AA11" s="241">
        <v>41887</v>
      </c>
      <c r="AB11" s="241" t="e">
        <f>ROUND((AA11-#REF!)/30.5,0)</f>
        <v>#REF!</v>
      </c>
      <c r="AC11" s="241">
        <v>39</v>
      </c>
      <c r="AD11" s="241">
        <v>42159</v>
      </c>
      <c r="AE11" s="241">
        <v>0</v>
      </c>
      <c r="AF11" s="241">
        <v>32</v>
      </c>
      <c r="AG11" s="241">
        <v>42296</v>
      </c>
      <c r="AH11" s="241">
        <v>5</v>
      </c>
      <c r="AI11" s="241">
        <v>25</v>
      </c>
      <c r="AJ11" s="241">
        <v>42394</v>
      </c>
      <c r="AK11" s="241">
        <v>8</v>
      </c>
      <c r="AL11" s="241">
        <v>20</v>
      </c>
      <c r="AM11" s="241">
        <v>42506</v>
      </c>
      <c r="AN11" s="241">
        <v>11</v>
      </c>
      <c r="AO11" s="241">
        <v>13</v>
      </c>
      <c r="AP11" s="241">
        <v>42885</v>
      </c>
      <c r="AQ11" s="241">
        <v>24</v>
      </c>
      <c r="AR11" s="241">
        <v>11</v>
      </c>
      <c r="AS11" s="241">
        <v>43220</v>
      </c>
      <c r="AT11" s="241">
        <v>35</v>
      </c>
    </row>
    <row r="12" spans="1:46">
      <c r="A12" s="111">
        <v>1180</v>
      </c>
      <c r="B12" s="111" t="s">
        <v>20</v>
      </c>
      <c r="C12" s="241">
        <v>2</v>
      </c>
      <c r="D12" s="241">
        <v>1026.9000000000001</v>
      </c>
      <c r="E12" s="241">
        <v>1405</v>
      </c>
      <c r="F12" s="241">
        <v>2.75</v>
      </c>
      <c r="G12" s="241">
        <v>3.03</v>
      </c>
      <c r="H12" s="241">
        <v>39.270000000000003</v>
      </c>
      <c r="I12" s="241">
        <v>33.47</v>
      </c>
      <c r="J12" s="241"/>
      <c r="K12" s="241"/>
      <c r="L12" s="241"/>
      <c r="M12" s="241"/>
      <c r="N12" s="241"/>
      <c r="O12" s="241"/>
      <c r="P12" s="241"/>
      <c r="Q12" s="241">
        <v>1401.89</v>
      </c>
      <c r="R12" s="241">
        <v>1047.49</v>
      </c>
      <c r="S12" s="241"/>
      <c r="T12" s="241"/>
      <c r="U12" s="241"/>
      <c r="V12" s="241"/>
      <c r="W12" s="241"/>
      <c r="X12" s="241"/>
      <c r="Y12" s="241"/>
      <c r="Z12" s="241">
        <v>40</v>
      </c>
      <c r="AA12" s="241">
        <v>41932</v>
      </c>
      <c r="AB12" s="241" t="e">
        <f>ROUND((AA12-#REF!)/30.5,0)</f>
        <v>#REF!</v>
      </c>
      <c r="AC12" s="241">
        <v>32</v>
      </c>
      <c r="AD12" s="241">
        <v>42167</v>
      </c>
      <c r="AE12" s="241">
        <v>0</v>
      </c>
      <c r="AF12" s="241">
        <v>32</v>
      </c>
      <c r="AG12" s="241">
        <v>42296</v>
      </c>
      <c r="AH12" s="241">
        <v>4</v>
      </c>
      <c r="AI12" s="241">
        <v>30</v>
      </c>
      <c r="AJ12" s="241">
        <v>42394</v>
      </c>
      <c r="AK12" s="241">
        <v>7</v>
      </c>
      <c r="AL12" s="241">
        <v>29</v>
      </c>
      <c r="AM12" s="241">
        <v>42534</v>
      </c>
      <c r="AN12" s="241">
        <v>12</v>
      </c>
      <c r="AO12" s="241">
        <v>22</v>
      </c>
      <c r="AP12" s="241">
        <v>42849</v>
      </c>
      <c r="AQ12" s="241">
        <v>22</v>
      </c>
      <c r="AR12" s="241"/>
      <c r="AS12" s="241"/>
      <c r="AT12" s="241"/>
    </row>
    <row r="13" spans="1:46">
      <c r="A13" s="111">
        <v>1438</v>
      </c>
      <c r="B13" s="111" t="s">
        <v>55</v>
      </c>
      <c r="C13" s="241">
        <v>2</v>
      </c>
      <c r="D13" s="241">
        <v>1072.7</v>
      </c>
      <c r="E13" s="241">
        <v>1385.1</v>
      </c>
      <c r="F13" s="241">
        <v>4.18</v>
      </c>
      <c r="G13" s="241">
        <v>10.93</v>
      </c>
      <c r="H13" s="241">
        <v>56.95</v>
      </c>
      <c r="I13" s="241">
        <v>39.89</v>
      </c>
      <c r="J13" s="241"/>
      <c r="K13" s="241"/>
      <c r="L13" s="241"/>
      <c r="M13" s="241"/>
      <c r="N13" s="241"/>
      <c r="O13" s="241"/>
      <c r="P13" s="241"/>
      <c r="Q13" s="241">
        <v>1670.95</v>
      </c>
      <c r="R13" s="241">
        <v>1061.5899999999999</v>
      </c>
      <c r="S13" s="241"/>
      <c r="T13" s="241"/>
      <c r="U13" s="241"/>
      <c r="V13" s="241"/>
      <c r="W13" s="241"/>
      <c r="X13" s="241"/>
      <c r="Y13" s="241"/>
      <c r="Z13" s="241">
        <v>39</v>
      </c>
      <c r="AA13" s="241">
        <v>42034</v>
      </c>
      <c r="AB13" s="241" t="e">
        <f>ROUND((AA13-#REF!)/30.5,0)</f>
        <v>#REF!</v>
      </c>
      <c r="AC13" s="241">
        <v>33</v>
      </c>
      <c r="AD13" s="241">
        <v>42173</v>
      </c>
      <c r="AE13" s="241">
        <v>0</v>
      </c>
      <c r="AF13" s="241">
        <v>26</v>
      </c>
      <c r="AG13" s="241">
        <v>42338</v>
      </c>
      <c r="AH13" s="241">
        <v>5</v>
      </c>
      <c r="AI13" s="241">
        <v>25</v>
      </c>
      <c r="AJ13" s="241">
        <v>42580</v>
      </c>
      <c r="AK13" s="241">
        <v>13</v>
      </c>
      <c r="AL13" s="241">
        <v>20</v>
      </c>
      <c r="AM13" s="241">
        <v>42898</v>
      </c>
      <c r="AN13" s="241">
        <v>24</v>
      </c>
      <c r="AO13" s="241">
        <v>17</v>
      </c>
      <c r="AP13" s="241">
        <v>43192</v>
      </c>
      <c r="AQ13" s="241">
        <v>33</v>
      </c>
      <c r="AR13" s="241"/>
      <c r="AS13" s="241"/>
      <c r="AT13" s="241"/>
    </row>
    <row r="14" spans="1:46">
      <c r="A14" s="111">
        <v>1055</v>
      </c>
      <c r="B14" s="111" t="s">
        <v>21</v>
      </c>
      <c r="C14" s="241">
        <v>2</v>
      </c>
      <c r="D14" s="241">
        <v>1467.8</v>
      </c>
      <c r="E14" s="241">
        <v>2129.9</v>
      </c>
      <c r="F14" s="241">
        <v>2.6</v>
      </c>
      <c r="G14" s="241">
        <v>2.89</v>
      </c>
      <c r="H14" s="241">
        <v>41.14</v>
      </c>
      <c r="I14" s="241">
        <v>40.729999999999997</v>
      </c>
      <c r="J14" s="241"/>
      <c r="K14" s="241"/>
      <c r="L14" s="241"/>
      <c r="M14" s="241"/>
      <c r="N14" s="241"/>
      <c r="O14" s="241"/>
      <c r="P14" s="241"/>
      <c r="Q14" s="241">
        <v>575.21</v>
      </c>
      <c r="R14" s="241">
        <v>512.72</v>
      </c>
      <c r="S14" s="241"/>
      <c r="T14" s="241"/>
      <c r="U14" s="241"/>
      <c r="V14" s="241"/>
      <c r="W14" s="241"/>
      <c r="X14" s="241"/>
      <c r="Y14" s="241"/>
      <c r="Z14" s="241">
        <v>45</v>
      </c>
      <c r="AA14" s="241">
        <v>41541</v>
      </c>
      <c r="AB14" s="241" t="e">
        <f>ROUND((AA14-#REF!)/30.5,0)</f>
        <v>#REF!</v>
      </c>
      <c r="AC14" s="241">
        <v>35</v>
      </c>
      <c r="AD14" s="241">
        <v>42174</v>
      </c>
      <c r="AE14" s="241">
        <v>0</v>
      </c>
      <c r="AF14" s="241">
        <v>36</v>
      </c>
      <c r="AG14" s="241">
        <v>42282</v>
      </c>
      <c r="AH14" s="241">
        <v>4</v>
      </c>
      <c r="AI14" s="241">
        <v>36</v>
      </c>
      <c r="AJ14" s="241">
        <v>42380</v>
      </c>
      <c r="AK14" s="241">
        <v>7</v>
      </c>
      <c r="AL14" s="241">
        <v>36</v>
      </c>
      <c r="AM14" s="241">
        <v>42541</v>
      </c>
      <c r="AN14" s="241">
        <v>12</v>
      </c>
      <c r="AO14" s="241"/>
      <c r="AP14" s="241"/>
      <c r="AQ14" s="241"/>
      <c r="AR14" s="241"/>
      <c r="AS14" s="241"/>
      <c r="AT14" s="241"/>
    </row>
    <row r="15" spans="1:46">
      <c r="A15" s="111">
        <v>1306</v>
      </c>
      <c r="B15" s="111" t="s">
        <v>41</v>
      </c>
      <c r="C15" s="241">
        <v>2</v>
      </c>
      <c r="D15" s="241">
        <v>1200.5999999999999</v>
      </c>
      <c r="E15" s="241">
        <v>2329.6</v>
      </c>
      <c r="F15" s="241">
        <v>2.17</v>
      </c>
      <c r="G15" s="241">
        <v>3.75</v>
      </c>
      <c r="H15" s="241">
        <v>45.64</v>
      </c>
      <c r="I15" s="241">
        <v>114.32</v>
      </c>
      <c r="J15" s="241"/>
      <c r="K15" s="241"/>
      <c r="L15" s="241"/>
      <c r="M15" s="241"/>
      <c r="N15" s="241"/>
      <c r="O15" s="241"/>
      <c r="P15" s="241"/>
      <c r="Q15" s="241">
        <v>841.38</v>
      </c>
      <c r="R15" s="241">
        <v>885.51</v>
      </c>
      <c r="S15" s="241"/>
      <c r="T15" s="241"/>
      <c r="U15" s="241"/>
      <c r="V15" s="241"/>
      <c r="W15" s="241"/>
      <c r="X15" s="241"/>
      <c r="Y15" s="241"/>
      <c r="Z15" s="241">
        <v>45</v>
      </c>
      <c r="AA15" s="241">
        <v>41904</v>
      </c>
      <c r="AB15" s="241" t="e">
        <f>ROUND((AA15-#REF!)/30.5,0)</f>
        <v>#REF!</v>
      </c>
      <c r="AC15" s="241">
        <v>43</v>
      </c>
      <c r="AD15" s="241">
        <v>42188</v>
      </c>
      <c r="AE15" s="241">
        <v>0</v>
      </c>
      <c r="AF15" s="241">
        <v>41</v>
      </c>
      <c r="AG15" s="241">
        <v>42240</v>
      </c>
      <c r="AH15" s="241">
        <v>2</v>
      </c>
      <c r="AI15" s="241">
        <v>36</v>
      </c>
      <c r="AJ15" s="241">
        <v>42366</v>
      </c>
      <c r="AK15" s="241">
        <v>6</v>
      </c>
      <c r="AL15" s="241">
        <v>32</v>
      </c>
      <c r="AM15" s="241">
        <v>42552</v>
      </c>
      <c r="AN15" s="241">
        <v>12</v>
      </c>
      <c r="AO15" s="241">
        <v>33</v>
      </c>
      <c r="AP15" s="241">
        <v>42881</v>
      </c>
      <c r="AQ15" s="241">
        <v>23</v>
      </c>
      <c r="AR15" s="241">
        <v>10</v>
      </c>
      <c r="AS15" s="241">
        <v>43248</v>
      </c>
      <c r="AT15" s="241">
        <v>35</v>
      </c>
    </row>
    <row r="16" spans="1:46">
      <c r="A16" s="111">
        <v>973</v>
      </c>
      <c r="B16" s="111" t="s">
        <v>24</v>
      </c>
      <c r="C16" s="241">
        <v>2</v>
      </c>
      <c r="D16" s="241">
        <v>748</v>
      </c>
      <c r="E16" s="241">
        <v>1230.1000000000001</v>
      </c>
      <c r="F16" s="241">
        <v>2.0299999999999998</v>
      </c>
      <c r="G16" s="241">
        <v>3.03</v>
      </c>
      <c r="H16" s="241">
        <v>38.56</v>
      </c>
      <c r="I16" s="241">
        <v>61.91</v>
      </c>
      <c r="J16" s="241"/>
      <c r="K16" s="241"/>
      <c r="L16" s="241"/>
      <c r="M16" s="241"/>
      <c r="N16" s="241"/>
      <c r="O16" s="241"/>
      <c r="P16" s="241"/>
      <c r="Q16" s="241">
        <v>763.37</v>
      </c>
      <c r="R16" s="241">
        <v>577.07000000000005</v>
      </c>
      <c r="S16" s="241"/>
      <c r="T16" s="241"/>
      <c r="U16" s="241"/>
      <c r="V16" s="241"/>
      <c r="W16" s="241"/>
      <c r="X16" s="241"/>
      <c r="Y16" s="241"/>
      <c r="Z16" s="241">
        <v>46</v>
      </c>
      <c r="AA16" s="241">
        <v>41359</v>
      </c>
      <c r="AB16" s="241" t="e">
        <f>ROUND((AA16-#REF!)/30.5,0)</f>
        <v>#REF!</v>
      </c>
      <c r="AC16" s="241">
        <v>40</v>
      </c>
      <c r="AD16" s="241">
        <v>42194</v>
      </c>
      <c r="AE16" s="241">
        <v>0</v>
      </c>
      <c r="AF16" s="241">
        <v>40</v>
      </c>
      <c r="AG16" s="241">
        <v>42394</v>
      </c>
      <c r="AH16" s="241">
        <v>7</v>
      </c>
      <c r="AI16" s="241">
        <v>40</v>
      </c>
      <c r="AJ16" s="241">
        <v>42569</v>
      </c>
      <c r="AK16" s="241">
        <v>12</v>
      </c>
      <c r="AL16" s="241">
        <v>39</v>
      </c>
      <c r="AM16" s="241">
        <v>43255</v>
      </c>
      <c r="AN16" s="241">
        <v>35</v>
      </c>
      <c r="AO16" s="241"/>
      <c r="AP16" s="241"/>
      <c r="AQ16" s="241"/>
      <c r="AR16" s="241"/>
      <c r="AS16" s="241"/>
      <c r="AT16" s="241"/>
    </row>
    <row r="17" spans="1:46">
      <c r="A17" s="111">
        <v>1240</v>
      </c>
      <c r="B17" s="111" t="s">
        <v>56</v>
      </c>
      <c r="C17" s="241">
        <v>2</v>
      </c>
      <c r="D17" s="241">
        <v>933.9</v>
      </c>
      <c r="E17" s="241">
        <v>1168.5</v>
      </c>
      <c r="F17" s="241">
        <v>2.0299999999999998</v>
      </c>
      <c r="G17" s="241">
        <v>1.88</v>
      </c>
      <c r="H17" s="241">
        <v>39.89</v>
      </c>
      <c r="I17" s="241">
        <v>38.18</v>
      </c>
      <c r="J17" s="241"/>
      <c r="K17" s="241"/>
      <c r="L17" s="241"/>
      <c r="M17" s="241"/>
      <c r="N17" s="241"/>
      <c r="O17" s="241"/>
      <c r="P17" s="241"/>
      <c r="Q17" s="241">
        <v>811.2</v>
      </c>
      <c r="R17" s="241">
        <v>666.37</v>
      </c>
      <c r="S17" s="241"/>
      <c r="T17" s="241"/>
      <c r="U17" s="241"/>
      <c r="V17" s="241"/>
      <c r="W17" s="241"/>
      <c r="X17" s="241"/>
      <c r="Y17" s="241"/>
      <c r="Z17" s="241">
        <v>42</v>
      </c>
      <c r="AA17" s="241">
        <v>41816</v>
      </c>
      <c r="AB17" s="241" t="e">
        <f>ROUND((AA17-#REF!)/30.5,0)</f>
        <v>#REF!</v>
      </c>
      <c r="AC17" s="241">
        <v>38</v>
      </c>
      <c r="AD17" s="241">
        <v>42215</v>
      </c>
      <c r="AE17" s="241">
        <v>0</v>
      </c>
      <c r="AF17" s="241">
        <v>38</v>
      </c>
      <c r="AG17" s="241">
        <v>42366</v>
      </c>
      <c r="AH17" s="241">
        <v>5</v>
      </c>
      <c r="AI17" s="241">
        <v>27</v>
      </c>
      <c r="AJ17" s="241">
        <v>42632</v>
      </c>
      <c r="AK17" s="241">
        <v>14</v>
      </c>
      <c r="AL17" s="241"/>
      <c r="AM17" s="241"/>
      <c r="AN17" s="241"/>
      <c r="AO17" s="241"/>
      <c r="AP17" s="241"/>
      <c r="AQ17" s="241"/>
      <c r="AR17" s="241"/>
      <c r="AS17" s="241"/>
      <c r="AT17" s="241"/>
    </row>
    <row r="18" spans="1:46">
      <c r="A18" s="111">
        <v>1440</v>
      </c>
      <c r="B18" s="111" t="s">
        <v>79</v>
      </c>
      <c r="C18" s="241">
        <v>2</v>
      </c>
      <c r="D18" s="241">
        <v>814.73</v>
      </c>
      <c r="E18" s="241">
        <v>1565.2</v>
      </c>
      <c r="F18" s="241">
        <v>2</v>
      </c>
      <c r="G18" s="241">
        <v>2.23</v>
      </c>
      <c r="H18" s="241">
        <v>37.74</v>
      </c>
      <c r="I18" s="241">
        <v>64.59</v>
      </c>
      <c r="J18" s="241"/>
      <c r="K18" s="241"/>
      <c r="L18" s="241"/>
      <c r="M18" s="241"/>
      <c r="N18" s="241"/>
      <c r="O18" s="241"/>
      <c r="P18" s="241"/>
      <c r="Q18" s="241">
        <v>801</v>
      </c>
      <c r="R18" s="241">
        <v>579.04999999999995</v>
      </c>
      <c r="S18" s="241"/>
      <c r="T18" s="241"/>
      <c r="U18" s="241"/>
      <c r="V18" s="241"/>
      <c r="W18" s="241"/>
      <c r="X18" s="241"/>
      <c r="Y18" s="241"/>
      <c r="Z18" s="241">
        <v>43</v>
      </c>
      <c r="AA18" s="241">
        <v>42034</v>
      </c>
      <c r="AB18" s="241" t="e">
        <f>ROUND((AA18-#REF!)/30.5,0)</f>
        <v>#REF!</v>
      </c>
      <c r="AC18" s="241">
        <v>36</v>
      </c>
      <c r="AD18" s="241">
        <v>42216</v>
      </c>
      <c r="AE18" s="241">
        <v>0</v>
      </c>
      <c r="AF18" s="241">
        <v>36</v>
      </c>
      <c r="AG18" s="241">
        <v>42389</v>
      </c>
      <c r="AH18" s="241">
        <v>6</v>
      </c>
      <c r="AI18" s="241">
        <v>36</v>
      </c>
      <c r="AJ18" s="241">
        <v>42457</v>
      </c>
      <c r="AK18" s="241">
        <v>8</v>
      </c>
      <c r="AL18" s="241">
        <v>32</v>
      </c>
      <c r="AM18" s="241">
        <v>42583</v>
      </c>
      <c r="AN18" s="241">
        <v>12</v>
      </c>
      <c r="AO18" s="241"/>
      <c r="AP18" s="241"/>
      <c r="AQ18" s="241"/>
      <c r="AR18" s="241"/>
      <c r="AS18" s="241"/>
      <c r="AT18" s="241"/>
    </row>
    <row r="19" spans="1:46">
      <c r="A19" s="111">
        <v>1464</v>
      </c>
      <c r="B19" s="111" t="s">
        <v>22</v>
      </c>
      <c r="C19" s="241">
        <v>2</v>
      </c>
      <c r="D19" s="241">
        <v>836.5</v>
      </c>
      <c r="E19" s="241">
        <v>1191.1199999999999</v>
      </c>
      <c r="F19" s="241">
        <v>2.08</v>
      </c>
      <c r="G19" s="241">
        <v>4.32</v>
      </c>
      <c r="H19" s="241">
        <v>43.35</v>
      </c>
      <c r="I19" s="241">
        <v>59.19</v>
      </c>
      <c r="J19" s="241"/>
      <c r="K19" s="241"/>
      <c r="L19" s="241"/>
      <c r="M19" s="241"/>
      <c r="N19" s="241"/>
      <c r="O19" s="241"/>
      <c r="P19" s="241"/>
      <c r="Q19" s="241">
        <v>1357.64</v>
      </c>
      <c r="R19" s="241">
        <v>926.75</v>
      </c>
      <c r="S19" s="241"/>
      <c r="T19" s="241"/>
      <c r="U19" s="241"/>
      <c r="V19" s="241"/>
      <c r="W19" s="241"/>
      <c r="X19" s="241"/>
      <c r="Y19" s="241"/>
      <c r="Z19" s="241">
        <v>39</v>
      </c>
      <c r="AA19" s="241">
        <v>42062</v>
      </c>
      <c r="AB19" s="241" t="e">
        <f>ROUND((AA19-#REF!)/30.5,0)</f>
        <v>#REF!</v>
      </c>
      <c r="AC19" s="241">
        <v>30</v>
      </c>
      <c r="AD19" s="241">
        <v>42222</v>
      </c>
      <c r="AE19" s="241">
        <v>0</v>
      </c>
      <c r="AF19" s="241">
        <v>25</v>
      </c>
      <c r="AG19" s="241">
        <v>42317</v>
      </c>
      <c r="AH19" s="241">
        <v>3</v>
      </c>
      <c r="AI19" s="241">
        <v>21</v>
      </c>
      <c r="AJ19" s="241">
        <v>42443</v>
      </c>
      <c r="AK19" s="241">
        <v>7</v>
      </c>
      <c r="AL19" s="241">
        <v>14</v>
      </c>
      <c r="AM19" s="241">
        <v>42639</v>
      </c>
      <c r="AN19" s="241">
        <v>14</v>
      </c>
      <c r="AO19" s="241">
        <v>1</v>
      </c>
      <c r="AP19" s="241">
        <v>43283</v>
      </c>
      <c r="AQ19" s="241">
        <v>35</v>
      </c>
      <c r="AR19" s="241"/>
      <c r="AS19" s="241"/>
      <c r="AT19" s="241"/>
    </row>
    <row r="20" spans="1:46">
      <c r="A20" s="111">
        <v>1557</v>
      </c>
      <c r="B20" s="111" t="s">
        <v>75</v>
      </c>
      <c r="C20" s="241">
        <v>2</v>
      </c>
      <c r="D20" s="241">
        <v>1538.8</v>
      </c>
      <c r="E20" s="241">
        <v>1951.8000000000002</v>
      </c>
      <c r="F20" s="241">
        <v>4.47</v>
      </c>
      <c r="G20" s="241">
        <v>7.86</v>
      </c>
      <c r="H20" s="241">
        <v>55.62</v>
      </c>
      <c r="I20" s="241">
        <v>69.56</v>
      </c>
      <c r="J20" s="241"/>
      <c r="K20" s="241"/>
      <c r="L20" s="241"/>
      <c r="M20" s="241"/>
      <c r="N20" s="241"/>
      <c r="O20" s="241"/>
      <c r="P20" s="241"/>
      <c r="Q20" s="241">
        <v>1102.21</v>
      </c>
      <c r="R20" s="241">
        <v>1159.42</v>
      </c>
      <c r="S20" s="241"/>
      <c r="T20" s="241"/>
      <c r="U20" s="241"/>
      <c r="V20" s="241"/>
      <c r="W20" s="241"/>
      <c r="X20" s="241"/>
      <c r="Y20" s="241"/>
      <c r="Z20" s="241">
        <v>32</v>
      </c>
      <c r="AA20" s="241">
        <v>42194</v>
      </c>
      <c r="AB20" s="241" t="e">
        <f>ROUND((AA20-#REF!)/30.5,0)</f>
        <v>#REF!</v>
      </c>
      <c r="AC20" s="241">
        <v>29</v>
      </c>
      <c r="AD20" s="241">
        <v>42223</v>
      </c>
      <c r="AE20" s="241">
        <v>0</v>
      </c>
      <c r="AF20" s="241"/>
      <c r="AG20" s="241"/>
      <c r="AH20" s="241"/>
      <c r="AI20" s="241"/>
      <c r="AJ20" s="241"/>
      <c r="AK20" s="241"/>
      <c r="AL20" s="241"/>
      <c r="AM20" s="241"/>
      <c r="AN20" s="241"/>
      <c r="AO20" s="241"/>
      <c r="AP20" s="241"/>
      <c r="AQ20" s="241"/>
      <c r="AR20" s="241"/>
      <c r="AS20" s="241"/>
      <c r="AT20" s="241"/>
    </row>
    <row r="21" spans="1:46">
      <c r="A21" s="111">
        <v>1478</v>
      </c>
      <c r="B21" s="111" t="s">
        <v>45</v>
      </c>
      <c r="C21" s="241">
        <v>2</v>
      </c>
      <c r="D21" s="241">
        <v>703.29</v>
      </c>
      <c r="E21" s="241">
        <v>1437.73</v>
      </c>
      <c r="F21" s="241">
        <v>2.08</v>
      </c>
      <c r="G21" s="241">
        <v>2.98</v>
      </c>
      <c r="H21" s="241">
        <v>50.81</v>
      </c>
      <c r="I21" s="241">
        <v>62.65</v>
      </c>
      <c r="J21" s="241"/>
      <c r="K21" s="241"/>
      <c r="L21" s="241"/>
      <c r="M21" s="241"/>
      <c r="N21" s="241"/>
      <c r="O21" s="241"/>
      <c r="P21" s="241"/>
      <c r="Q21" s="241">
        <v>1459.92</v>
      </c>
      <c r="R21" s="241">
        <v>1390.94</v>
      </c>
      <c r="S21" s="241"/>
      <c r="T21" s="241"/>
      <c r="U21" s="241"/>
      <c r="V21" s="241"/>
      <c r="W21" s="241"/>
      <c r="X21" s="241"/>
      <c r="Y21" s="241"/>
      <c r="Z21" s="241">
        <v>45</v>
      </c>
      <c r="AA21" s="241">
        <v>42090</v>
      </c>
      <c r="AB21" s="241" t="e">
        <f>ROUND((AA21-#REF!)/30.5,0)</f>
        <v>#REF!</v>
      </c>
      <c r="AC21" s="241">
        <v>45</v>
      </c>
      <c r="AD21" s="241">
        <v>42236</v>
      </c>
      <c r="AE21" s="241">
        <v>0</v>
      </c>
      <c r="AF21" s="241">
        <v>45</v>
      </c>
      <c r="AG21" s="241">
        <v>42292</v>
      </c>
      <c r="AH21" s="241">
        <v>2</v>
      </c>
      <c r="AI21" s="241">
        <v>35</v>
      </c>
      <c r="AJ21" s="241">
        <v>42429</v>
      </c>
      <c r="AK21" s="241">
        <v>6</v>
      </c>
      <c r="AL21" s="241">
        <v>34</v>
      </c>
      <c r="AM21" s="241">
        <v>42496</v>
      </c>
      <c r="AN21" s="241">
        <v>9</v>
      </c>
      <c r="AO21" s="241">
        <v>14</v>
      </c>
      <c r="AP21" s="241">
        <v>42891</v>
      </c>
      <c r="AQ21" s="241">
        <v>22</v>
      </c>
      <c r="AR21" s="241"/>
      <c r="AS21" s="241"/>
      <c r="AT21" s="241"/>
    </row>
    <row r="22" spans="1:46">
      <c r="A22" s="111">
        <v>1504</v>
      </c>
      <c r="B22" s="111" t="s">
        <v>35</v>
      </c>
      <c r="C22" s="241">
        <v>2</v>
      </c>
      <c r="D22" s="241">
        <v>933.24</v>
      </c>
      <c r="E22" s="241">
        <v>1216.67</v>
      </c>
      <c r="F22" s="241">
        <v>1.63</v>
      </c>
      <c r="G22" s="241">
        <v>1.18</v>
      </c>
      <c r="H22" s="241">
        <v>39.15</v>
      </c>
      <c r="I22" s="241">
        <v>39.47</v>
      </c>
      <c r="J22" s="241"/>
      <c r="K22" s="241"/>
      <c r="L22" s="241"/>
      <c r="M22" s="241"/>
      <c r="N22" s="241"/>
      <c r="O22" s="241"/>
      <c r="P22" s="241"/>
      <c r="Q22" s="241">
        <v>805.47</v>
      </c>
      <c r="R22" s="241">
        <v>475.91</v>
      </c>
      <c r="S22" s="241"/>
      <c r="T22" s="241"/>
      <c r="U22" s="241"/>
      <c r="V22" s="241"/>
      <c r="W22" s="241"/>
      <c r="X22" s="241"/>
      <c r="Y22" s="241"/>
      <c r="Z22" s="241">
        <v>45</v>
      </c>
      <c r="AA22" s="241">
        <v>42111</v>
      </c>
      <c r="AB22" s="241" t="e">
        <f>ROUND((AA22-#REF!)/30.5,0)</f>
        <v>#REF!</v>
      </c>
      <c r="AC22" s="241">
        <v>40</v>
      </c>
      <c r="AD22" s="241">
        <v>42237</v>
      </c>
      <c r="AE22" s="241">
        <v>0</v>
      </c>
      <c r="AF22" s="241">
        <v>34</v>
      </c>
      <c r="AG22" s="241">
        <v>42373</v>
      </c>
      <c r="AH22" s="241">
        <v>4</v>
      </c>
      <c r="AI22" s="241">
        <v>30</v>
      </c>
      <c r="AJ22" s="241">
        <v>42429</v>
      </c>
      <c r="AK22" s="241">
        <v>6</v>
      </c>
      <c r="AL22" s="241">
        <v>24</v>
      </c>
      <c r="AM22" s="241">
        <v>42576</v>
      </c>
      <c r="AN22" s="241">
        <v>11</v>
      </c>
      <c r="AO22" s="241">
        <v>9</v>
      </c>
      <c r="AP22" s="241">
        <v>42913</v>
      </c>
      <c r="AQ22" s="241">
        <v>22</v>
      </c>
      <c r="AR22" s="241">
        <v>1</v>
      </c>
      <c r="AS22" s="241">
        <v>43297</v>
      </c>
      <c r="AT22" s="241">
        <v>35</v>
      </c>
    </row>
    <row r="23" spans="1:46">
      <c r="A23" s="111">
        <v>1441</v>
      </c>
      <c r="B23" s="111" t="s">
        <v>28</v>
      </c>
      <c r="C23" s="241">
        <v>2</v>
      </c>
      <c r="D23" s="241">
        <v>1305.1499999999999</v>
      </c>
      <c r="E23" s="241">
        <v>2025.68</v>
      </c>
      <c r="F23" s="241">
        <v>1.93</v>
      </c>
      <c r="G23" s="241">
        <v>1.93</v>
      </c>
      <c r="H23" s="241">
        <v>47.92</v>
      </c>
      <c r="I23" s="241">
        <v>55.47</v>
      </c>
      <c r="J23" s="241"/>
      <c r="K23" s="241"/>
      <c r="L23" s="241"/>
      <c r="M23" s="241"/>
      <c r="N23" s="241"/>
      <c r="O23" s="241"/>
      <c r="P23" s="241"/>
      <c r="Q23" s="241">
        <v>1011.93</v>
      </c>
      <c r="R23" s="241">
        <v>370.56</v>
      </c>
      <c r="S23" s="241"/>
      <c r="T23" s="241"/>
      <c r="U23" s="241"/>
      <c r="V23" s="241"/>
      <c r="W23" s="241"/>
      <c r="X23" s="241"/>
      <c r="Y23" s="241"/>
      <c r="Z23" s="241">
        <v>42</v>
      </c>
      <c r="AA23" s="241">
        <v>42034</v>
      </c>
      <c r="AB23" s="241" t="e">
        <f>ROUND((AA23-#REF!)/30.5,0)</f>
        <v>#REF!</v>
      </c>
      <c r="AC23" s="241">
        <v>39</v>
      </c>
      <c r="AD23" s="241">
        <v>42244</v>
      </c>
      <c r="AE23" s="241">
        <v>0</v>
      </c>
      <c r="AF23" s="241">
        <v>38</v>
      </c>
      <c r="AG23" s="241">
        <v>42359</v>
      </c>
      <c r="AH23" s="241">
        <v>4</v>
      </c>
      <c r="AI23" s="241">
        <v>36</v>
      </c>
      <c r="AJ23" s="241">
        <v>42415</v>
      </c>
      <c r="AK23" s="241">
        <v>6</v>
      </c>
      <c r="AL23" s="241">
        <v>32</v>
      </c>
      <c r="AM23" s="241">
        <v>42590</v>
      </c>
      <c r="AN23" s="241">
        <v>11</v>
      </c>
      <c r="AO23" s="241">
        <v>32</v>
      </c>
      <c r="AP23" s="241">
        <v>42947</v>
      </c>
      <c r="AQ23" s="241">
        <v>23</v>
      </c>
      <c r="AR23" s="241">
        <v>20</v>
      </c>
      <c r="AS23" s="241">
        <v>43287</v>
      </c>
      <c r="AT23" s="241">
        <v>34</v>
      </c>
    </row>
    <row r="24" spans="1:46">
      <c r="A24" s="111">
        <v>1511</v>
      </c>
      <c r="B24" s="111" t="s">
        <v>34</v>
      </c>
      <c r="C24" s="241">
        <v>2</v>
      </c>
      <c r="D24" s="241">
        <v>659.68</v>
      </c>
      <c r="E24" s="241">
        <v>850.71</v>
      </c>
      <c r="F24" s="241">
        <v>1.78</v>
      </c>
      <c r="G24" s="241">
        <v>2.08</v>
      </c>
      <c r="H24" s="241">
        <v>32.94</v>
      </c>
      <c r="I24" s="241">
        <v>35.54</v>
      </c>
      <c r="J24" s="241"/>
      <c r="K24" s="241"/>
      <c r="L24" s="241"/>
      <c r="M24" s="241"/>
      <c r="N24" s="241"/>
      <c r="O24" s="241"/>
      <c r="P24" s="241"/>
      <c r="Q24" s="241">
        <v>728.7</v>
      </c>
      <c r="R24" s="241">
        <v>621.85</v>
      </c>
      <c r="S24" s="241"/>
      <c r="T24" s="241"/>
      <c r="U24" s="241"/>
      <c r="V24" s="241"/>
      <c r="W24" s="241"/>
      <c r="X24" s="241"/>
      <c r="Y24" s="241"/>
      <c r="Z24" s="241">
        <v>38</v>
      </c>
      <c r="AA24" s="241">
        <v>42129</v>
      </c>
      <c r="AB24" s="241" t="e">
        <f>ROUND((AA24-#REF!)/30.5,0)</f>
        <v>#REF!</v>
      </c>
      <c r="AC24" s="241">
        <v>36</v>
      </c>
      <c r="AD24" s="241">
        <v>42271</v>
      </c>
      <c r="AE24" s="241">
        <v>0</v>
      </c>
      <c r="AF24" s="241">
        <v>32</v>
      </c>
      <c r="AG24" s="241">
        <v>42359</v>
      </c>
      <c r="AH24" s="241">
        <v>3</v>
      </c>
      <c r="AI24" s="241">
        <v>32</v>
      </c>
      <c r="AJ24" s="241">
        <v>42429</v>
      </c>
      <c r="AK24" s="241">
        <v>5</v>
      </c>
      <c r="AL24" s="241">
        <v>31</v>
      </c>
      <c r="AM24" s="241">
        <v>42653</v>
      </c>
      <c r="AN24" s="241">
        <v>13</v>
      </c>
      <c r="AO24" s="241">
        <v>23</v>
      </c>
      <c r="AP24" s="241">
        <v>42954</v>
      </c>
      <c r="AQ24" s="241">
        <v>22</v>
      </c>
      <c r="AR24" s="241">
        <v>21</v>
      </c>
      <c r="AS24" s="241">
        <v>43283</v>
      </c>
      <c r="AT24" s="241">
        <v>33</v>
      </c>
    </row>
    <row r="25" spans="1:46">
      <c r="A25" s="111">
        <v>1153</v>
      </c>
      <c r="B25" s="111" t="s">
        <v>23</v>
      </c>
      <c r="C25" s="241">
        <v>2</v>
      </c>
      <c r="D25" s="241">
        <v>580.92999999999995</v>
      </c>
      <c r="E25" s="241">
        <v>1296.33</v>
      </c>
      <c r="F25" s="241">
        <v>1.33</v>
      </c>
      <c r="G25" s="241">
        <v>2.08</v>
      </c>
      <c r="H25" s="241">
        <v>37.99</v>
      </c>
      <c r="I25" s="241">
        <v>63.75</v>
      </c>
      <c r="J25" s="241"/>
      <c r="K25" s="241"/>
      <c r="L25" s="241"/>
      <c r="M25" s="241"/>
      <c r="N25" s="241"/>
      <c r="O25" s="241"/>
      <c r="P25" s="241"/>
      <c r="Q25" s="241">
        <v>1018.53</v>
      </c>
      <c r="R25" s="241">
        <v>695.62</v>
      </c>
      <c r="S25" s="241"/>
      <c r="T25" s="241"/>
      <c r="U25" s="241"/>
      <c r="V25" s="241"/>
      <c r="W25" s="241"/>
      <c r="X25" s="241"/>
      <c r="Y25" s="241"/>
      <c r="Z25" s="241">
        <v>39</v>
      </c>
      <c r="AA25" s="241">
        <v>41682</v>
      </c>
      <c r="AB25" s="241" t="e">
        <f>ROUND((AA25-#REF!)/30.5,0)</f>
        <v>#REF!</v>
      </c>
      <c r="AC25" s="241">
        <v>30</v>
      </c>
      <c r="AD25" s="241">
        <v>42272</v>
      </c>
      <c r="AE25" s="241">
        <v>0</v>
      </c>
      <c r="AF25" s="241">
        <v>30</v>
      </c>
      <c r="AG25" s="241">
        <v>42359</v>
      </c>
      <c r="AH25" s="241">
        <v>3</v>
      </c>
      <c r="AI25" s="241">
        <v>29</v>
      </c>
      <c r="AJ25" s="241">
        <v>42457</v>
      </c>
      <c r="AK25" s="241">
        <v>6</v>
      </c>
      <c r="AL25" s="241">
        <v>28</v>
      </c>
      <c r="AM25" s="241">
        <v>42636</v>
      </c>
      <c r="AN25" s="241">
        <v>12</v>
      </c>
      <c r="AO25" s="241">
        <v>28</v>
      </c>
      <c r="AP25" s="241">
        <v>42972</v>
      </c>
      <c r="AQ25" s="241">
        <v>23</v>
      </c>
      <c r="AR25" s="241"/>
      <c r="AS25" s="241"/>
      <c r="AT25" s="241"/>
    </row>
    <row r="26" spans="1:46">
      <c r="A26" s="111">
        <v>1517</v>
      </c>
      <c r="B26" s="111" t="s">
        <v>39</v>
      </c>
      <c r="C26" s="241">
        <v>2</v>
      </c>
      <c r="D26" s="241">
        <v>1251.32</v>
      </c>
      <c r="E26" s="241">
        <v>3881.36</v>
      </c>
      <c r="F26" s="241">
        <v>2.38</v>
      </c>
      <c r="G26" s="241">
        <v>5.98</v>
      </c>
      <c r="H26" s="241">
        <v>59.7</v>
      </c>
      <c r="I26" s="241">
        <v>105.92</v>
      </c>
      <c r="J26" s="241"/>
      <c r="K26" s="241"/>
      <c r="L26" s="241"/>
      <c r="M26" s="241"/>
      <c r="N26" s="241"/>
      <c r="O26" s="241"/>
      <c r="P26" s="241"/>
      <c r="Q26" s="241">
        <v>1111.79</v>
      </c>
      <c r="R26" s="241">
        <v>979.16</v>
      </c>
      <c r="S26" s="241"/>
      <c r="T26" s="241"/>
      <c r="U26" s="241"/>
      <c r="V26" s="241"/>
      <c r="W26" s="241"/>
      <c r="X26" s="241"/>
      <c r="Y26" s="241"/>
      <c r="Z26" s="241">
        <v>46</v>
      </c>
      <c r="AA26" s="241">
        <v>42135</v>
      </c>
      <c r="AB26" s="241" t="e">
        <f>ROUND((AA26-#REF!)/30.5,0)</f>
        <v>#REF!</v>
      </c>
      <c r="AC26" s="241">
        <v>42</v>
      </c>
      <c r="AD26" s="241">
        <v>42300</v>
      </c>
      <c r="AE26" s="241">
        <v>0</v>
      </c>
      <c r="AF26" s="241">
        <v>33</v>
      </c>
      <c r="AG26" s="241">
        <v>42485</v>
      </c>
      <c r="AH26" s="241">
        <v>6</v>
      </c>
      <c r="AI26" s="241">
        <v>22</v>
      </c>
      <c r="AJ26" s="241">
        <v>42660</v>
      </c>
      <c r="AK26" s="241">
        <v>12</v>
      </c>
      <c r="AL26" s="241"/>
      <c r="AM26" s="241"/>
      <c r="AN26" s="241"/>
      <c r="AO26" s="241"/>
      <c r="AP26" s="241"/>
      <c r="AQ26" s="241"/>
      <c r="AR26" s="241"/>
      <c r="AS26" s="241"/>
      <c r="AT26" s="241"/>
    </row>
    <row r="27" spans="1:46">
      <c r="A27" s="111">
        <v>1356</v>
      </c>
      <c r="B27" s="111" t="s">
        <v>44</v>
      </c>
      <c r="C27" s="241">
        <v>2</v>
      </c>
      <c r="D27" s="241">
        <v>788.19999999999993</v>
      </c>
      <c r="E27" s="241">
        <v>1853.18</v>
      </c>
      <c r="F27" s="241">
        <v>1.33</v>
      </c>
      <c r="G27" s="241">
        <v>2.23</v>
      </c>
      <c r="H27" s="241">
        <v>38.74</v>
      </c>
      <c r="I27" s="241">
        <v>66.69</v>
      </c>
      <c r="J27" s="241"/>
      <c r="K27" s="241"/>
      <c r="L27" s="241"/>
      <c r="M27" s="241"/>
      <c r="N27" s="241"/>
      <c r="O27" s="241"/>
      <c r="P27" s="241"/>
      <c r="Q27" s="241">
        <v>1155.71</v>
      </c>
      <c r="R27" s="241">
        <v>544.09</v>
      </c>
      <c r="S27" s="241"/>
      <c r="T27" s="241"/>
      <c r="U27" s="241"/>
      <c r="V27" s="241"/>
      <c r="W27" s="241"/>
      <c r="X27" s="241"/>
      <c r="Y27" s="241"/>
      <c r="Z27" s="241">
        <v>44</v>
      </c>
      <c r="AA27" s="241">
        <v>41949</v>
      </c>
      <c r="AB27" s="241" t="e">
        <f>ROUND((AA27-#REF!)/30.5,0)</f>
        <v>#REF!</v>
      </c>
      <c r="AC27" s="241">
        <v>41</v>
      </c>
      <c r="AD27" s="241">
        <v>42313</v>
      </c>
      <c r="AE27" s="241">
        <v>0</v>
      </c>
      <c r="AF27" s="241">
        <v>35</v>
      </c>
      <c r="AG27" s="241">
        <v>42450</v>
      </c>
      <c r="AH27" s="241">
        <v>5</v>
      </c>
      <c r="AI27" s="241">
        <v>32</v>
      </c>
      <c r="AJ27" s="241">
        <v>42478</v>
      </c>
      <c r="AK27" s="241">
        <v>5</v>
      </c>
      <c r="AL27" s="241">
        <v>10</v>
      </c>
      <c r="AM27" s="241">
        <v>42695</v>
      </c>
      <c r="AN27" s="241">
        <v>13</v>
      </c>
      <c r="AO27" s="241">
        <v>9</v>
      </c>
      <c r="AP27" s="241">
        <v>42947</v>
      </c>
      <c r="AQ27" s="241">
        <v>21</v>
      </c>
      <c r="AR27" s="241">
        <v>9</v>
      </c>
      <c r="AS27" s="241">
        <v>43195</v>
      </c>
      <c r="AT27" s="241">
        <v>29</v>
      </c>
    </row>
    <row r="28" spans="1:46">
      <c r="A28" s="111">
        <v>1544</v>
      </c>
      <c r="B28" s="111" t="s">
        <v>29</v>
      </c>
      <c r="C28" s="241">
        <v>2</v>
      </c>
      <c r="D28" s="241">
        <v>700.91</v>
      </c>
      <c r="E28" s="241">
        <v>1280.3</v>
      </c>
      <c r="F28" s="241">
        <v>1.03</v>
      </c>
      <c r="G28" s="241">
        <v>1.48</v>
      </c>
      <c r="H28" s="241">
        <v>28.22</v>
      </c>
      <c r="I28" s="241">
        <v>39.42</v>
      </c>
      <c r="J28" s="241"/>
      <c r="K28" s="241"/>
      <c r="L28" s="241"/>
      <c r="M28" s="241"/>
      <c r="N28" s="241"/>
      <c r="O28" s="241"/>
      <c r="P28" s="241"/>
      <c r="Q28" s="241">
        <v>488.32</v>
      </c>
      <c r="R28" s="241">
        <v>108.93</v>
      </c>
      <c r="S28" s="241"/>
      <c r="T28" s="241"/>
      <c r="U28" s="241"/>
      <c r="V28" s="241"/>
      <c r="W28" s="241"/>
      <c r="X28" s="241"/>
      <c r="Y28" s="241"/>
      <c r="Z28" s="241">
        <v>45</v>
      </c>
      <c r="AA28" s="241">
        <v>42177</v>
      </c>
      <c r="AB28" s="241" t="e">
        <f>ROUND((AA28-#REF!)/30.5,0)</f>
        <v>#REF!</v>
      </c>
      <c r="AC28" s="241">
        <v>45</v>
      </c>
      <c r="AD28" s="241">
        <v>42334</v>
      </c>
      <c r="AE28" s="241">
        <v>0</v>
      </c>
      <c r="AF28" s="241">
        <v>44</v>
      </c>
      <c r="AG28" s="241">
        <v>42438</v>
      </c>
      <c r="AH28" s="241">
        <v>3</v>
      </c>
      <c r="AI28" s="241">
        <v>44</v>
      </c>
      <c r="AJ28" s="241">
        <v>42711</v>
      </c>
      <c r="AK28" s="241">
        <v>12</v>
      </c>
      <c r="AL28" s="241">
        <v>19</v>
      </c>
      <c r="AM28" s="241">
        <v>43474</v>
      </c>
      <c r="AN28" s="241">
        <v>37</v>
      </c>
      <c r="AO28" s="241"/>
      <c r="AP28" s="241"/>
      <c r="AQ28" s="241"/>
      <c r="AR28" s="241"/>
      <c r="AS28" s="241"/>
      <c r="AT28" s="241"/>
    </row>
    <row r="29" spans="1:46">
      <c r="A29" s="111">
        <v>1552</v>
      </c>
      <c r="B29" s="111" t="s">
        <v>40</v>
      </c>
      <c r="C29" s="241">
        <v>2</v>
      </c>
      <c r="D29" s="241">
        <v>765.1</v>
      </c>
      <c r="E29" s="241">
        <v>1138.6199999999999</v>
      </c>
      <c r="F29" s="241">
        <v>1.63</v>
      </c>
      <c r="G29" s="241">
        <v>2.23</v>
      </c>
      <c r="H29" s="241">
        <v>37.61</v>
      </c>
      <c r="I29" s="241">
        <v>42.26</v>
      </c>
      <c r="J29" s="241"/>
      <c r="K29" s="241"/>
      <c r="L29" s="241"/>
      <c r="M29" s="241"/>
      <c r="N29" s="241"/>
      <c r="O29" s="241"/>
      <c r="P29" s="241"/>
      <c r="Q29" s="241">
        <v>810.4</v>
      </c>
      <c r="R29" s="241">
        <v>927.24</v>
      </c>
      <c r="S29" s="241"/>
      <c r="T29" s="241"/>
      <c r="U29" s="241"/>
      <c r="V29" s="241"/>
      <c r="W29" s="241"/>
      <c r="X29" s="241"/>
      <c r="Y29" s="241"/>
      <c r="Z29" s="241">
        <v>42</v>
      </c>
      <c r="AA29" s="241">
        <v>42187</v>
      </c>
      <c r="AB29" s="241" t="e">
        <f>ROUND((AA29-#REF!)/30.5,0)</f>
        <v>#REF!</v>
      </c>
      <c r="AC29" s="241">
        <v>38</v>
      </c>
      <c r="AD29" s="241">
        <v>42342</v>
      </c>
      <c r="AE29" s="241">
        <v>0</v>
      </c>
      <c r="AF29" s="241">
        <v>30</v>
      </c>
      <c r="AG29" s="241">
        <v>42457</v>
      </c>
      <c r="AH29" s="241">
        <v>4</v>
      </c>
      <c r="AI29" s="241">
        <v>28</v>
      </c>
      <c r="AJ29" s="241">
        <v>42513</v>
      </c>
      <c r="AK29" s="241">
        <v>6</v>
      </c>
      <c r="AL29" s="241">
        <v>23</v>
      </c>
      <c r="AM29" s="241">
        <v>42730</v>
      </c>
      <c r="AN29" s="241">
        <v>13</v>
      </c>
      <c r="AO29" s="241">
        <v>18</v>
      </c>
      <c r="AP29" s="241">
        <v>43087</v>
      </c>
      <c r="AQ29" s="241">
        <v>24</v>
      </c>
      <c r="AR29" s="241"/>
      <c r="AS29" s="241"/>
      <c r="AT29" s="241"/>
    </row>
    <row r="30" spans="1:46">
      <c r="A30" s="111">
        <v>1533</v>
      </c>
      <c r="B30" s="111" t="s">
        <v>38</v>
      </c>
      <c r="C30" s="241">
        <v>2</v>
      </c>
      <c r="D30" s="241">
        <v>951.0200000000001</v>
      </c>
      <c r="E30" s="241">
        <v>1959.36</v>
      </c>
      <c r="F30" s="241">
        <v>1.33</v>
      </c>
      <c r="G30" s="241">
        <v>4.93</v>
      </c>
      <c r="H30" s="241">
        <v>34.5</v>
      </c>
      <c r="I30" s="241">
        <v>46.13</v>
      </c>
      <c r="J30" s="241"/>
      <c r="K30" s="241"/>
      <c r="L30" s="241"/>
      <c r="M30" s="241"/>
      <c r="N30" s="241"/>
      <c r="O30" s="241"/>
      <c r="P30" s="241"/>
      <c r="Q30" s="241">
        <v>470.5</v>
      </c>
      <c r="R30" s="241">
        <v>347.96</v>
      </c>
      <c r="S30" s="241"/>
      <c r="T30" s="241"/>
      <c r="U30" s="241"/>
      <c r="V30" s="241"/>
      <c r="W30" s="241"/>
      <c r="X30" s="241"/>
      <c r="Y30" s="241"/>
      <c r="Z30" s="241">
        <v>47</v>
      </c>
      <c r="AA30" s="241">
        <v>42167</v>
      </c>
      <c r="AB30" s="241" t="e">
        <f>ROUND((AA30-#REF!)/30.5,0)</f>
        <v>#REF!</v>
      </c>
      <c r="AC30" s="241">
        <v>42</v>
      </c>
      <c r="AD30" s="241">
        <v>42440</v>
      </c>
      <c r="AE30" s="241">
        <v>0</v>
      </c>
      <c r="AF30" s="241">
        <v>39</v>
      </c>
      <c r="AG30" s="241">
        <v>42548</v>
      </c>
      <c r="AH30" s="241">
        <v>4</v>
      </c>
      <c r="AI30" s="241">
        <v>34</v>
      </c>
      <c r="AJ30" s="241">
        <v>42611</v>
      </c>
      <c r="AK30" s="241">
        <v>6</v>
      </c>
      <c r="AL30" s="241">
        <v>28</v>
      </c>
      <c r="AM30" s="241">
        <v>42786</v>
      </c>
      <c r="AN30" s="241">
        <v>11</v>
      </c>
      <c r="AO30" s="241">
        <v>23</v>
      </c>
      <c r="AP30" s="241">
        <v>43133</v>
      </c>
      <c r="AQ30" s="241">
        <v>23</v>
      </c>
      <c r="AR30" s="241">
        <v>21</v>
      </c>
      <c r="AS30" s="241">
        <v>43416</v>
      </c>
      <c r="AT30" s="241">
        <v>32</v>
      </c>
    </row>
    <row r="31" spans="1:46">
      <c r="A31" s="111">
        <v>1640</v>
      </c>
      <c r="B31" s="111" t="s">
        <v>51</v>
      </c>
      <c r="C31" s="241">
        <v>2</v>
      </c>
      <c r="D31" s="241">
        <v>940.80000000000007</v>
      </c>
      <c r="E31" s="241">
        <v>1370.11</v>
      </c>
      <c r="F31" s="241">
        <v>1.48</v>
      </c>
      <c r="G31" s="241">
        <v>1.93</v>
      </c>
      <c r="H31" s="241">
        <v>45.66</v>
      </c>
      <c r="I31" s="241">
        <v>88.53</v>
      </c>
      <c r="J31" s="241"/>
      <c r="K31" s="241"/>
      <c r="L31" s="241"/>
      <c r="M31" s="241"/>
      <c r="N31" s="241"/>
      <c r="O31" s="241"/>
      <c r="P31" s="241"/>
      <c r="Q31" s="241">
        <v>1006.5</v>
      </c>
      <c r="R31" s="241">
        <v>494.38</v>
      </c>
      <c r="S31" s="241"/>
      <c r="T31" s="241"/>
      <c r="U31" s="241"/>
      <c r="V31" s="241"/>
      <c r="W31" s="241"/>
      <c r="X31" s="241"/>
      <c r="Y31" s="241"/>
      <c r="Z31" s="241">
        <v>45</v>
      </c>
      <c r="AA31" s="241">
        <v>42293</v>
      </c>
      <c r="AB31" s="241" t="e">
        <f>ROUND((AA31-#REF!)/30.5,0)</f>
        <v>#REF!</v>
      </c>
      <c r="AC31" s="241">
        <v>41</v>
      </c>
      <c r="AD31" s="241">
        <v>42440</v>
      </c>
      <c r="AE31" s="241">
        <v>0</v>
      </c>
      <c r="AF31" s="241">
        <v>39</v>
      </c>
      <c r="AG31" s="241">
        <v>42569</v>
      </c>
      <c r="AH31" s="241">
        <v>4</v>
      </c>
      <c r="AI31" s="241"/>
      <c r="AJ31" s="241"/>
      <c r="AK31" s="241"/>
      <c r="AL31" s="241">
        <v>24</v>
      </c>
      <c r="AM31" s="241">
        <v>42821</v>
      </c>
      <c r="AN31" s="241">
        <v>13</v>
      </c>
      <c r="AO31" s="241"/>
      <c r="AP31" s="241"/>
      <c r="AQ31" s="241"/>
      <c r="AR31" s="241"/>
      <c r="AS31" s="241"/>
      <c r="AT31" s="241"/>
    </row>
    <row r="32" spans="1:46">
      <c r="A32" s="111">
        <v>1748</v>
      </c>
      <c r="B32" s="111" t="s">
        <v>14</v>
      </c>
      <c r="C32" s="241">
        <v>3</v>
      </c>
      <c r="D32" s="241">
        <v>958.6</v>
      </c>
      <c r="E32" s="241">
        <v>1474</v>
      </c>
      <c r="F32" s="241">
        <v>4.6750000000000007</v>
      </c>
      <c r="G32" s="241">
        <v>11.299999999999999</v>
      </c>
      <c r="H32" s="241">
        <v>43.15</v>
      </c>
      <c r="I32" s="241">
        <v>99.05</v>
      </c>
      <c r="J32" s="241">
        <v>43.55</v>
      </c>
      <c r="K32" s="241"/>
      <c r="L32" s="241"/>
      <c r="M32" s="241"/>
      <c r="N32" s="241"/>
      <c r="O32" s="241"/>
      <c r="P32" s="241"/>
      <c r="Q32" s="241">
        <v>929.7</v>
      </c>
      <c r="R32" s="241">
        <v>717.63</v>
      </c>
      <c r="S32" s="241">
        <v>883.77</v>
      </c>
      <c r="T32" s="241"/>
      <c r="U32" s="241"/>
      <c r="V32" s="241"/>
      <c r="W32" s="241"/>
      <c r="X32" s="241"/>
      <c r="Y32" s="241"/>
      <c r="Z32" s="241">
        <v>37</v>
      </c>
      <c r="AA32" s="241">
        <v>42459</v>
      </c>
      <c r="AB32" s="241" t="e">
        <f>ROUND((AA32-#REF!)/30.5,0)</f>
        <v>#REF!</v>
      </c>
      <c r="AC32" s="241">
        <v>36</v>
      </c>
      <c r="AD32" s="241">
        <v>42488</v>
      </c>
      <c r="AE32" s="241">
        <v>0</v>
      </c>
      <c r="AF32" s="241">
        <v>36</v>
      </c>
      <c r="AG32" s="241">
        <v>42604</v>
      </c>
      <c r="AH32" s="241">
        <v>4</v>
      </c>
      <c r="AI32" s="241">
        <v>34</v>
      </c>
      <c r="AJ32" s="241">
        <v>42733</v>
      </c>
      <c r="AK32" s="241">
        <v>8</v>
      </c>
      <c r="AL32" s="241"/>
      <c r="AM32" s="241"/>
      <c r="AN32" s="241"/>
      <c r="AO32" s="241"/>
      <c r="AP32" s="241"/>
      <c r="AQ32" s="241"/>
      <c r="AR32" s="241"/>
      <c r="AS32" s="241"/>
      <c r="AT32" s="241"/>
    </row>
    <row r="33" spans="1:46">
      <c r="A33" s="111">
        <v>1701</v>
      </c>
      <c r="B33" s="111" t="s">
        <v>4</v>
      </c>
      <c r="C33" s="241">
        <v>4</v>
      </c>
      <c r="D33" s="241">
        <v>883.19999999999993</v>
      </c>
      <c r="E33" s="241">
        <v>462.2</v>
      </c>
      <c r="F33" s="241">
        <v>1.34</v>
      </c>
      <c r="G33" s="241">
        <v>0.62</v>
      </c>
      <c r="H33" s="241">
        <v>34.72</v>
      </c>
      <c r="I33" s="241">
        <v>25.79</v>
      </c>
      <c r="J33" s="241">
        <v>41.68</v>
      </c>
      <c r="K33" s="241">
        <v>25.08</v>
      </c>
      <c r="L33" s="241"/>
      <c r="M33" s="241"/>
      <c r="N33" s="241"/>
      <c r="O33" s="241"/>
      <c r="P33" s="241"/>
      <c r="Q33" s="241">
        <v>816.68400000000008</v>
      </c>
      <c r="R33" s="241">
        <v>734.55599999999993</v>
      </c>
      <c r="S33" s="241">
        <v>1357.3680000000002</v>
      </c>
      <c r="T33" s="241">
        <v>707.00399999999991</v>
      </c>
      <c r="U33" s="241"/>
      <c r="V33" s="241"/>
      <c r="W33" s="241"/>
      <c r="X33" s="241"/>
      <c r="Y33" s="241"/>
      <c r="Z33" s="241">
        <v>46</v>
      </c>
      <c r="AA33" s="241">
        <v>42384</v>
      </c>
      <c r="AB33" s="241" t="e">
        <f>ROUND((AA33-#REF!)/30.5,0)</f>
        <v>#REF!</v>
      </c>
      <c r="AC33" s="241">
        <v>41</v>
      </c>
      <c r="AD33" s="241">
        <v>42524</v>
      </c>
      <c r="AE33" s="241">
        <v>0</v>
      </c>
      <c r="AF33" s="241">
        <v>40</v>
      </c>
      <c r="AG33" s="241">
        <v>42639</v>
      </c>
      <c r="AH33" s="241">
        <v>4</v>
      </c>
      <c r="AI33" s="241">
        <v>40</v>
      </c>
      <c r="AJ33" s="241">
        <v>42695</v>
      </c>
      <c r="AK33" s="241">
        <v>6</v>
      </c>
      <c r="AL33" s="241">
        <v>40</v>
      </c>
      <c r="AM33" s="241">
        <v>42769</v>
      </c>
      <c r="AN33" s="241">
        <f>ROUND((AM33-AD33)/30.5,0.5)</f>
        <v>8</v>
      </c>
      <c r="AO33" s="241">
        <v>40</v>
      </c>
      <c r="AP33" s="241">
        <v>42867</v>
      </c>
      <c r="AQ33" s="241">
        <f>ROUND((AP33-AD33)/30.5,0.5)</f>
        <v>11</v>
      </c>
      <c r="AR33" s="241">
        <v>39</v>
      </c>
      <c r="AS33" s="241">
        <v>42936</v>
      </c>
      <c r="AT33" s="241">
        <f>ROUND((AS33-AD33)/30.5,0.5)</f>
        <v>14</v>
      </c>
    </row>
    <row r="34" spans="1:46">
      <c r="A34" s="111">
        <v>1788</v>
      </c>
      <c r="B34" s="111" t="s">
        <v>74</v>
      </c>
      <c r="C34" s="241">
        <v>2</v>
      </c>
      <c r="D34" s="241">
        <v>1203.1999999999998</v>
      </c>
      <c r="E34" s="241">
        <v>1592.1000000000001</v>
      </c>
      <c r="F34" s="241">
        <v>1.18</v>
      </c>
      <c r="G34" s="241">
        <v>1.18</v>
      </c>
      <c r="H34" s="241">
        <v>41.9</v>
      </c>
      <c r="I34" s="241">
        <v>32.58</v>
      </c>
      <c r="J34" s="241"/>
      <c r="K34" s="241"/>
      <c r="L34" s="241"/>
      <c r="M34" s="241"/>
      <c r="N34" s="241"/>
      <c r="O34" s="241"/>
      <c r="P34" s="241"/>
      <c r="Q34" s="241">
        <v>668.78</v>
      </c>
      <c r="R34" s="241">
        <v>715.1</v>
      </c>
      <c r="S34" s="241"/>
      <c r="T34" s="241"/>
      <c r="U34" s="241"/>
      <c r="V34" s="241"/>
      <c r="W34" s="241"/>
      <c r="X34" s="241"/>
      <c r="Y34" s="241"/>
      <c r="Z34" s="241">
        <v>34</v>
      </c>
      <c r="AA34" s="241">
        <v>42523</v>
      </c>
      <c r="AB34" s="241" t="e">
        <f>ROUND((AA34-#REF!)/30.5,0)</f>
        <v>#REF!</v>
      </c>
      <c r="AC34" s="241">
        <v>34</v>
      </c>
      <c r="AD34" s="241">
        <v>42608</v>
      </c>
      <c r="AE34" s="241">
        <v>0</v>
      </c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</row>
    <row r="35" spans="1:46">
      <c r="A35" s="111">
        <v>1698</v>
      </c>
      <c r="B35" s="111" t="s">
        <v>26</v>
      </c>
      <c r="C35" s="241">
        <v>2</v>
      </c>
      <c r="D35" s="241">
        <v>867.30000000000007</v>
      </c>
      <c r="E35" s="241">
        <v>1490.1599999999999</v>
      </c>
      <c r="F35" s="241">
        <v>1.18</v>
      </c>
      <c r="G35" s="241">
        <v>1.63</v>
      </c>
      <c r="H35" s="241">
        <v>34.53</v>
      </c>
      <c r="I35" s="241">
        <v>59.8</v>
      </c>
      <c r="J35" s="241"/>
      <c r="K35" s="241"/>
      <c r="L35" s="241"/>
      <c r="M35" s="241"/>
      <c r="N35" s="241"/>
      <c r="O35" s="241"/>
      <c r="P35" s="241"/>
      <c r="Q35" s="241">
        <v>848.94</v>
      </c>
      <c r="R35" s="241">
        <v>819.08</v>
      </c>
      <c r="S35" s="241"/>
      <c r="T35" s="241"/>
      <c r="U35" s="241"/>
      <c r="V35" s="241"/>
      <c r="W35" s="241"/>
      <c r="X35" s="241"/>
      <c r="Y35" s="241"/>
      <c r="Z35" s="241">
        <v>42</v>
      </c>
      <c r="AA35" s="241">
        <v>42380</v>
      </c>
      <c r="AB35" s="241" t="e">
        <f>ROUND((AA35-#REF!)/30.5,0)</f>
        <v>#REF!</v>
      </c>
      <c r="AC35" s="241">
        <v>39</v>
      </c>
      <c r="AD35" s="241">
        <v>42663</v>
      </c>
      <c r="AE35" s="241">
        <v>0</v>
      </c>
      <c r="AF35" s="241">
        <v>37</v>
      </c>
      <c r="AG35" s="241">
        <v>42779</v>
      </c>
      <c r="AH35" s="241">
        <v>4</v>
      </c>
      <c r="AI35" s="241">
        <v>37</v>
      </c>
      <c r="AJ35" s="241">
        <v>42842</v>
      </c>
      <c r="AK35" s="241">
        <v>6</v>
      </c>
      <c r="AL35" s="241">
        <v>30</v>
      </c>
      <c r="AM35" s="241">
        <v>43063</v>
      </c>
      <c r="AN35" s="241">
        <v>13</v>
      </c>
      <c r="AO35" s="241">
        <v>25</v>
      </c>
      <c r="AP35" s="241">
        <v>43385</v>
      </c>
      <c r="AQ35" s="241">
        <v>24</v>
      </c>
      <c r="AR35" s="241">
        <v>23</v>
      </c>
      <c r="AS35" s="241">
        <v>43700</v>
      </c>
      <c r="AT35" s="241">
        <v>34</v>
      </c>
    </row>
    <row r="36" spans="1:46">
      <c r="A36" s="111">
        <v>1750</v>
      </c>
      <c r="B36" s="111" t="s">
        <v>32</v>
      </c>
      <c r="C36" s="241">
        <v>2</v>
      </c>
      <c r="D36" s="241">
        <v>2138.5</v>
      </c>
      <c r="E36" s="241">
        <v>1617.77</v>
      </c>
      <c r="F36" s="241">
        <v>3.12</v>
      </c>
      <c r="G36" s="241">
        <v>1.63</v>
      </c>
      <c r="H36" s="241">
        <v>59.12</v>
      </c>
      <c r="I36" s="241">
        <v>52.79</v>
      </c>
      <c r="J36" s="241"/>
      <c r="K36" s="241"/>
      <c r="L36" s="241"/>
      <c r="M36" s="241"/>
      <c r="N36" s="241"/>
      <c r="O36" s="241"/>
      <c r="P36" s="241"/>
      <c r="Q36" s="241">
        <v>1296.94</v>
      </c>
      <c r="R36" s="241">
        <v>801.69</v>
      </c>
      <c r="S36" s="241"/>
      <c r="T36" s="241"/>
      <c r="U36" s="241"/>
      <c r="V36" s="241"/>
      <c r="W36" s="241"/>
      <c r="X36" s="241"/>
      <c r="Y36" s="241"/>
      <c r="Z36" s="241">
        <v>44</v>
      </c>
      <c r="AA36" s="241">
        <v>42454</v>
      </c>
      <c r="AB36" s="241" t="e">
        <f>ROUND((AA36-#REF!)/30.5,0)</f>
        <v>#REF!</v>
      </c>
      <c r="AC36" s="241">
        <v>35</v>
      </c>
      <c r="AD36" s="241">
        <v>42689</v>
      </c>
      <c r="AE36" s="241">
        <v>0</v>
      </c>
      <c r="AF36" s="241">
        <v>29</v>
      </c>
      <c r="AG36" s="241">
        <v>42828</v>
      </c>
      <c r="AH36" s="241">
        <v>4</v>
      </c>
      <c r="AI36" s="241">
        <v>27</v>
      </c>
      <c r="AJ36" s="241">
        <v>42863</v>
      </c>
      <c r="AK36" s="241">
        <v>6</v>
      </c>
      <c r="AL36" s="241">
        <v>14</v>
      </c>
      <c r="AM36" s="241">
        <v>42989</v>
      </c>
      <c r="AN36" s="241">
        <v>10</v>
      </c>
      <c r="AO36" s="241">
        <v>5</v>
      </c>
      <c r="AP36" s="241">
        <v>43395</v>
      </c>
      <c r="AQ36" s="241">
        <v>23</v>
      </c>
      <c r="AR36" s="241">
        <v>4</v>
      </c>
      <c r="AS36" s="241">
        <v>43752</v>
      </c>
      <c r="AT36" s="241">
        <v>35</v>
      </c>
    </row>
    <row r="37" spans="1:46">
      <c r="A37" s="111">
        <v>1867</v>
      </c>
      <c r="B37" s="111" t="s">
        <v>50</v>
      </c>
      <c r="C37" s="241">
        <v>2</v>
      </c>
      <c r="D37" s="241">
        <v>1313.7</v>
      </c>
      <c r="E37" s="241">
        <v>2930.2999999999997</v>
      </c>
      <c r="F37" s="241">
        <v>2.1</v>
      </c>
      <c r="G37" s="241">
        <v>4.2699999999999996</v>
      </c>
      <c r="H37" s="241">
        <v>61.12</v>
      </c>
      <c r="I37" s="241">
        <v>71.61</v>
      </c>
      <c r="J37" s="241"/>
      <c r="K37" s="241"/>
      <c r="L37" s="241"/>
      <c r="M37" s="241"/>
      <c r="N37" s="241"/>
      <c r="O37" s="241"/>
      <c r="P37" s="241"/>
      <c r="Q37" s="241">
        <v>2174.75</v>
      </c>
      <c r="R37" s="241">
        <v>784.89</v>
      </c>
      <c r="S37" s="241"/>
      <c r="T37" s="241"/>
      <c r="U37" s="241"/>
      <c r="V37" s="241"/>
      <c r="W37" s="241"/>
      <c r="X37" s="241"/>
      <c r="Y37" s="241"/>
      <c r="Z37" s="241">
        <v>41</v>
      </c>
      <c r="AA37" s="241">
        <v>42663</v>
      </c>
      <c r="AB37" s="241" t="e">
        <f>ROUND((AA37-#REF!)/30.5,0)</f>
        <v>#REF!</v>
      </c>
      <c r="AC37" s="241">
        <v>35</v>
      </c>
      <c r="AD37" s="241">
        <v>42699</v>
      </c>
      <c r="AE37" s="241">
        <v>0</v>
      </c>
      <c r="AF37" s="241">
        <v>32</v>
      </c>
      <c r="AG37" s="241">
        <v>42720</v>
      </c>
      <c r="AH37" s="241">
        <v>1</v>
      </c>
      <c r="AI37" s="241"/>
      <c r="AJ37" s="241"/>
      <c r="AK37" s="241"/>
      <c r="AL37" s="241"/>
      <c r="AM37" s="241"/>
      <c r="AN37" s="241"/>
      <c r="AO37" s="241"/>
      <c r="AP37" s="241"/>
      <c r="AQ37" s="241"/>
      <c r="AR37" s="241"/>
      <c r="AS37" s="241"/>
      <c r="AT37" s="241"/>
    </row>
    <row r="38" spans="1:46">
      <c r="A38" s="111">
        <v>1800</v>
      </c>
      <c r="B38" s="111" t="s">
        <v>36</v>
      </c>
      <c r="C38" s="241">
        <v>2</v>
      </c>
      <c r="D38" s="241">
        <v>1030.8900000000001</v>
      </c>
      <c r="E38" s="241">
        <v>1928.01</v>
      </c>
      <c r="F38" s="241">
        <v>1.48</v>
      </c>
      <c r="G38" s="241">
        <v>8.09</v>
      </c>
      <c r="H38" s="241">
        <v>60.31</v>
      </c>
      <c r="I38" s="241">
        <v>60.31</v>
      </c>
      <c r="J38" s="241"/>
      <c r="K38" s="241"/>
      <c r="L38" s="241"/>
      <c r="M38" s="241"/>
      <c r="N38" s="241"/>
      <c r="O38" s="241"/>
      <c r="P38" s="241"/>
      <c r="Q38" s="241">
        <v>1330.16</v>
      </c>
      <c r="R38" s="241">
        <v>208.69</v>
      </c>
      <c r="S38" s="241"/>
      <c r="T38" s="241"/>
      <c r="U38" s="241"/>
      <c r="V38" s="241"/>
      <c r="W38" s="241"/>
      <c r="X38" s="241"/>
      <c r="Y38" s="241"/>
      <c r="Z38" s="241">
        <v>46</v>
      </c>
      <c r="AA38" s="241">
        <v>42552</v>
      </c>
      <c r="AB38" s="241" t="e">
        <f>ROUND((AA38-#REF!)/30.5,0)</f>
        <v>#REF!</v>
      </c>
      <c r="AC38" s="241">
        <v>41</v>
      </c>
      <c r="AD38" s="241">
        <v>42747</v>
      </c>
      <c r="AE38" s="241">
        <v>0</v>
      </c>
      <c r="AF38" s="241">
        <v>37</v>
      </c>
      <c r="AG38" s="241">
        <v>42863</v>
      </c>
      <c r="AH38" s="241">
        <v>4</v>
      </c>
      <c r="AI38" s="241">
        <v>33</v>
      </c>
      <c r="AJ38" s="241">
        <v>42933</v>
      </c>
      <c r="AK38" s="241">
        <v>6</v>
      </c>
      <c r="AL38" s="241">
        <v>5</v>
      </c>
      <c r="AM38" s="241">
        <v>43360</v>
      </c>
      <c r="AN38" s="241">
        <v>20</v>
      </c>
      <c r="AO38" s="241">
        <v>3</v>
      </c>
      <c r="AP38" s="241">
        <v>43451</v>
      </c>
      <c r="AQ38" s="241">
        <v>23</v>
      </c>
      <c r="AR38" s="241"/>
      <c r="AS38" s="241"/>
      <c r="AT38" s="241"/>
    </row>
    <row r="39" spans="1:46">
      <c r="A39" s="111">
        <v>1870</v>
      </c>
      <c r="B39" s="111" t="s">
        <v>43</v>
      </c>
      <c r="C39" s="241">
        <v>2</v>
      </c>
      <c r="D39" s="241">
        <v>819.5</v>
      </c>
      <c r="E39" s="241">
        <v>1497.1000000000001</v>
      </c>
      <c r="F39" s="241">
        <v>1.44</v>
      </c>
      <c r="G39" s="241">
        <v>2.31</v>
      </c>
      <c r="H39" s="241">
        <v>35.380000000000003</v>
      </c>
      <c r="I39" s="241">
        <v>64.61</v>
      </c>
      <c r="J39" s="241"/>
      <c r="K39" s="241"/>
      <c r="L39" s="241"/>
      <c r="M39" s="241"/>
      <c r="N39" s="241"/>
      <c r="O39" s="241"/>
      <c r="P39" s="241"/>
      <c r="Q39" s="241">
        <v>767.31</v>
      </c>
      <c r="R39" s="241">
        <v>629.1</v>
      </c>
      <c r="S39" s="241"/>
      <c r="T39" s="241"/>
      <c r="U39" s="241"/>
      <c r="V39" s="241"/>
      <c r="W39" s="241"/>
      <c r="X39" s="241"/>
      <c r="Y39" s="241"/>
      <c r="Z39" s="241">
        <v>43</v>
      </c>
      <c r="AA39" s="241">
        <v>42677</v>
      </c>
      <c r="AB39" s="241" t="e">
        <f>ROUND((AA39-#REF!)/30.5,0)</f>
        <v>#REF!</v>
      </c>
      <c r="AC39" s="241">
        <v>43</v>
      </c>
      <c r="AD39" s="241">
        <v>42754</v>
      </c>
      <c r="AE39" s="241">
        <v>0</v>
      </c>
      <c r="AF39" s="241">
        <v>41</v>
      </c>
      <c r="AG39" s="241">
        <v>42870</v>
      </c>
      <c r="AH39" s="241">
        <v>4</v>
      </c>
      <c r="AI39" s="241">
        <v>35</v>
      </c>
      <c r="AJ39" s="241">
        <v>42926</v>
      </c>
      <c r="AK39" s="241">
        <v>6</v>
      </c>
      <c r="AL39" s="241">
        <v>24</v>
      </c>
      <c r="AM39" s="241">
        <v>43143</v>
      </c>
      <c r="AN39" s="241">
        <v>13</v>
      </c>
      <c r="AO39" s="241">
        <v>13</v>
      </c>
      <c r="AP39" s="241">
        <v>43530</v>
      </c>
      <c r="AQ39" s="241">
        <v>25</v>
      </c>
      <c r="AR39" s="241"/>
      <c r="AS39" s="241"/>
      <c r="AT39" s="241"/>
    </row>
    <row r="40" spans="1:46">
      <c r="A40" s="111">
        <v>1918</v>
      </c>
      <c r="B40" s="111" t="s">
        <v>73</v>
      </c>
      <c r="C40" s="241">
        <v>2</v>
      </c>
      <c r="D40" s="241">
        <v>847</v>
      </c>
      <c r="E40" s="241">
        <v>1736.3999999999999</v>
      </c>
      <c r="F40" s="241">
        <v>1.74</v>
      </c>
      <c r="G40" s="241">
        <v>11.32</v>
      </c>
      <c r="H40" s="241">
        <v>34.520000000000003</v>
      </c>
      <c r="I40" s="241">
        <v>80.05</v>
      </c>
      <c r="J40" s="241"/>
      <c r="K40" s="241"/>
      <c r="L40" s="241"/>
      <c r="M40" s="241"/>
      <c r="N40" s="241"/>
      <c r="O40" s="241"/>
      <c r="P40" s="241"/>
      <c r="Q40" s="241">
        <v>882.73</v>
      </c>
      <c r="R40" s="241">
        <v>497.72</v>
      </c>
      <c r="S40" s="241"/>
      <c r="T40" s="241"/>
      <c r="U40" s="241"/>
      <c r="V40" s="241"/>
      <c r="W40" s="241"/>
      <c r="X40" s="241"/>
      <c r="Y40" s="241"/>
      <c r="Z40" s="241">
        <v>42</v>
      </c>
      <c r="AA40" s="241">
        <v>42752</v>
      </c>
      <c r="AB40" s="241" t="e">
        <f>ROUND((AA40-#REF!)/30.5,0)</f>
        <v>#REF!</v>
      </c>
      <c r="AC40" s="241">
        <v>41</v>
      </c>
      <c r="AD40" s="241">
        <v>42782</v>
      </c>
      <c r="AE40" s="241">
        <v>0</v>
      </c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1"/>
      <c r="AR40" s="241"/>
      <c r="AS40" s="241"/>
      <c r="AT40" s="241"/>
    </row>
    <row r="41" spans="1:46">
      <c r="A41" s="111">
        <v>1874</v>
      </c>
      <c r="B41" s="111" t="s">
        <v>37</v>
      </c>
      <c r="C41" s="241">
        <v>2</v>
      </c>
      <c r="D41" s="241">
        <v>1004.29</v>
      </c>
      <c r="E41" s="241">
        <v>1698.83</v>
      </c>
      <c r="F41" s="241">
        <v>1.18</v>
      </c>
      <c r="G41" s="241">
        <v>1.63</v>
      </c>
      <c r="H41" s="241">
        <v>50.42</v>
      </c>
      <c r="I41" s="241">
        <v>60.94</v>
      </c>
      <c r="J41" s="241"/>
      <c r="K41" s="241"/>
      <c r="L41" s="241"/>
      <c r="M41" s="241"/>
      <c r="N41" s="241"/>
      <c r="O41" s="241"/>
      <c r="P41" s="241"/>
      <c r="Q41" s="241">
        <v>870.41</v>
      </c>
      <c r="R41" s="241">
        <v>298.57</v>
      </c>
      <c r="S41" s="241"/>
      <c r="T41" s="241"/>
      <c r="U41" s="241"/>
      <c r="V41" s="241"/>
      <c r="W41" s="241"/>
      <c r="X41" s="241"/>
      <c r="Y41" s="241"/>
      <c r="Z41" s="241">
        <v>47</v>
      </c>
      <c r="AA41" s="241">
        <v>42685</v>
      </c>
      <c r="AB41" s="241" t="e">
        <f>ROUND((AA41-#REF!)/30.5,0)</f>
        <v>#REF!</v>
      </c>
      <c r="AC41" s="241">
        <v>47</v>
      </c>
      <c r="AD41" s="241">
        <v>42811</v>
      </c>
      <c r="AE41" s="241">
        <v>0</v>
      </c>
      <c r="AF41" s="241">
        <v>47</v>
      </c>
      <c r="AG41" s="241">
        <v>42926</v>
      </c>
      <c r="AH41" s="241">
        <v>4</v>
      </c>
      <c r="AI41" s="241">
        <v>43</v>
      </c>
      <c r="AJ41" s="241">
        <v>42982</v>
      </c>
      <c r="AK41" s="241">
        <v>6</v>
      </c>
      <c r="AL41" s="241">
        <v>39</v>
      </c>
      <c r="AM41" s="241">
        <v>43157</v>
      </c>
      <c r="AN41" s="241">
        <v>11</v>
      </c>
      <c r="AO41" s="241">
        <v>19</v>
      </c>
      <c r="AP41" s="241">
        <v>43815</v>
      </c>
      <c r="AQ41" s="241">
        <v>33</v>
      </c>
      <c r="AR41" s="241"/>
      <c r="AS41" s="241"/>
      <c r="AT41" s="241"/>
    </row>
    <row r="42" spans="1:46">
      <c r="A42" s="111">
        <v>1664</v>
      </c>
      <c r="B42" s="111" t="s">
        <v>31</v>
      </c>
      <c r="C42" s="241">
        <v>2</v>
      </c>
      <c r="D42" s="241">
        <v>511.42</v>
      </c>
      <c r="E42" s="241">
        <v>1263.5</v>
      </c>
      <c r="F42" s="241">
        <v>1.03</v>
      </c>
      <c r="G42" s="241">
        <v>2.5299999999999998</v>
      </c>
      <c r="H42" s="241">
        <v>31.03</v>
      </c>
      <c r="I42" s="241">
        <v>54.79</v>
      </c>
      <c r="J42" s="241"/>
      <c r="K42" s="241"/>
      <c r="L42" s="241"/>
      <c r="M42" s="241"/>
      <c r="N42" s="241"/>
      <c r="O42" s="241"/>
      <c r="P42" s="241"/>
      <c r="Q42" s="241">
        <v>1077.1500000000001</v>
      </c>
      <c r="R42" s="241">
        <v>906.46</v>
      </c>
      <c r="S42" s="241"/>
      <c r="T42" s="241"/>
      <c r="U42" s="241"/>
      <c r="V42" s="241"/>
      <c r="W42" s="241"/>
      <c r="X42" s="241"/>
      <c r="Y42" s="241"/>
      <c r="Z42" s="241">
        <v>45</v>
      </c>
      <c r="AA42" s="241">
        <v>42317</v>
      </c>
      <c r="AB42" s="241" t="e">
        <f>ROUND((AA42-#REF!)/30.5,0)</f>
        <v>#REF!</v>
      </c>
      <c r="AC42" s="241">
        <v>37</v>
      </c>
      <c r="AD42" s="241">
        <v>42818</v>
      </c>
      <c r="AE42" s="241">
        <v>0</v>
      </c>
      <c r="AF42" s="241">
        <v>36</v>
      </c>
      <c r="AG42" s="241">
        <v>42912</v>
      </c>
      <c r="AH42" s="241">
        <v>3</v>
      </c>
      <c r="AI42" s="241">
        <v>33</v>
      </c>
      <c r="AJ42" s="241">
        <v>43007</v>
      </c>
      <c r="AK42" s="241">
        <v>6</v>
      </c>
      <c r="AL42" s="241">
        <v>26</v>
      </c>
      <c r="AM42" s="241">
        <v>43208</v>
      </c>
      <c r="AN42" s="241">
        <v>13</v>
      </c>
      <c r="AO42" s="241">
        <v>25</v>
      </c>
      <c r="AP42" s="241">
        <v>43542</v>
      </c>
      <c r="AQ42" s="241">
        <v>24</v>
      </c>
      <c r="AR42" s="241">
        <v>22</v>
      </c>
      <c r="AS42" s="241">
        <v>43878</v>
      </c>
      <c r="AT42" s="241">
        <v>35</v>
      </c>
    </row>
    <row r="43" spans="1:46">
      <c r="A43" s="111">
        <v>1769</v>
      </c>
      <c r="B43" s="111" t="s">
        <v>25</v>
      </c>
      <c r="C43" s="241">
        <v>2</v>
      </c>
      <c r="D43" s="241">
        <v>1717</v>
      </c>
      <c r="E43" s="241">
        <v>6574.4000000000005</v>
      </c>
      <c r="F43" s="241">
        <v>2.2400000000000002</v>
      </c>
      <c r="G43" s="241">
        <v>32.86</v>
      </c>
      <c r="H43" s="241">
        <v>175.8</v>
      </c>
      <c r="I43" s="241">
        <v>152.66999999999999</v>
      </c>
      <c r="J43" s="241"/>
      <c r="K43" s="241"/>
      <c r="L43" s="241"/>
      <c r="M43" s="241"/>
      <c r="N43" s="241"/>
      <c r="O43" s="241"/>
      <c r="P43" s="241"/>
      <c r="Q43" s="241">
        <v>2567.91</v>
      </c>
      <c r="R43" s="241">
        <v>2067.3200000000002</v>
      </c>
      <c r="S43" s="241"/>
      <c r="T43" s="241"/>
      <c r="U43" s="241"/>
      <c r="V43" s="241"/>
      <c r="W43" s="241"/>
      <c r="X43" s="241"/>
      <c r="Y43" s="241"/>
      <c r="Z43" s="241">
        <v>39</v>
      </c>
      <c r="AA43" s="241">
        <v>42482</v>
      </c>
      <c r="AB43" s="241" t="e">
        <f>ROUND((AA43-#REF!)/30.5,0)</f>
        <v>#REF!</v>
      </c>
      <c r="AC43" s="241">
        <v>34</v>
      </c>
      <c r="AD43" s="241">
        <v>42957</v>
      </c>
      <c r="AE43" s="241">
        <v>0</v>
      </c>
      <c r="AF43" s="241">
        <v>33</v>
      </c>
      <c r="AG43" s="241">
        <v>43021</v>
      </c>
      <c r="AH43" s="241">
        <v>2</v>
      </c>
      <c r="AI43" s="241">
        <v>33</v>
      </c>
      <c r="AJ43" s="241">
        <v>43104</v>
      </c>
      <c r="AK43" s="241">
        <v>5</v>
      </c>
      <c r="AL43" s="241">
        <v>29</v>
      </c>
      <c r="AM43" s="241">
        <v>43283</v>
      </c>
      <c r="AN43" s="241">
        <v>11</v>
      </c>
      <c r="AO43" s="241"/>
      <c r="AP43" s="241"/>
      <c r="AQ43" s="241"/>
      <c r="AR43" s="241"/>
      <c r="AS43" s="241"/>
      <c r="AT43" s="241"/>
    </row>
    <row r="44" spans="1:46">
      <c r="A44" s="111">
        <v>2039</v>
      </c>
      <c r="B44" s="111" t="s">
        <v>8</v>
      </c>
      <c r="C44" s="241">
        <v>4</v>
      </c>
      <c r="D44" s="241">
        <v>1106.9000000000001</v>
      </c>
      <c r="E44" s="241">
        <v>1521.1000000000001</v>
      </c>
      <c r="F44" s="241">
        <v>2.98</v>
      </c>
      <c r="G44" s="241">
        <v>3.11</v>
      </c>
      <c r="H44" s="241">
        <v>26.37</v>
      </c>
      <c r="I44" s="241">
        <v>34</v>
      </c>
      <c r="J44" s="241">
        <v>29.48</v>
      </c>
      <c r="K44" s="241">
        <v>24.49</v>
      </c>
      <c r="L44" s="241"/>
      <c r="M44" s="241"/>
      <c r="N44" s="241"/>
      <c r="O44" s="241"/>
      <c r="P44" s="241"/>
      <c r="Q44" s="241">
        <v>593.13</v>
      </c>
      <c r="R44" s="241">
        <v>509.13</v>
      </c>
      <c r="S44" s="241">
        <v>690.35</v>
      </c>
      <c r="T44" s="241">
        <v>378.56</v>
      </c>
      <c r="U44" s="241"/>
      <c r="V44" s="241"/>
      <c r="W44" s="241"/>
      <c r="X44" s="241"/>
      <c r="Y44" s="241"/>
      <c r="Z44" s="241">
        <v>35</v>
      </c>
      <c r="AA44" s="241">
        <v>42940</v>
      </c>
      <c r="AB44" s="241" t="e">
        <f>ROUND((AA44-#REF!)/30.5,0)</f>
        <v>#REF!</v>
      </c>
      <c r="AC44" s="241">
        <v>36</v>
      </c>
      <c r="AD44" s="241">
        <v>42972</v>
      </c>
      <c r="AE44" s="241">
        <v>0</v>
      </c>
      <c r="AF44" s="241">
        <v>34</v>
      </c>
      <c r="AG44" s="241">
        <v>43157</v>
      </c>
      <c r="AH44" s="241">
        <v>6</v>
      </c>
      <c r="AI44" s="241">
        <v>27</v>
      </c>
      <c r="AJ44" s="241">
        <v>43224</v>
      </c>
      <c r="AK44" s="241">
        <v>8</v>
      </c>
      <c r="AL44" s="241">
        <v>27</v>
      </c>
      <c r="AM44" s="241">
        <v>43249</v>
      </c>
      <c r="AN44" s="241">
        <v>9</v>
      </c>
      <c r="AO44" s="241">
        <v>21</v>
      </c>
      <c r="AP44" s="241">
        <v>43357</v>
      </c>
      <c r="AQ44" s="241">
        <v>13</v>
      </c>
      <c r="AR44" s="241"/>
      <c r="AS44" s="241"/>
      <c r="AT44" s="241"/>
    </row>
    <row r="45" spans="1:46">
      <c r="A45" s="111">
        <v>2063</v>
      </c>
      <c r="B45" s="111" t="s">
        <v>72</v>
      </c>
      <c r="C45" s="241">
        <v>2</v>
      </c>
      <c r="D45" s="241">
        <v>1575.6999999999998</v>
      </c>
      <c r="E45" s="241">
        <v>2061.8000000000002</v>
      </c>
      <c r="F45" s="241">
        <v>3.24</v>
      </c>
      <c r="G45" s="241">
        <v>4.07</v>
      </c>
      <c r="H45" s="241">
        <v>43.5</v>
      </c>
      <c r="I45" s="241">
        <v>53.15</v>
      </c>
      <c r="J45" s="241"/>
      <c r="K45" s="241"/>
      <c r="L45" s="241"/>
      <c r="M45" s="241"/>
      <c r="N45" s="241"/>
      <c r="O45" s="241"/>
      <c r="P45" s="241"/>
      <c r="Q45" s="241">
        <v>1245.95</v>
      </c>
      <c r="R45" s="241">
        <v>919.36</v>
      </c>
      <c r="S45" s="241"/>
      <c r="T45" s="241"/>
      <c r="U45" s="241"/>
      <c r="V45" s="241"/>
      <c r="W45" s="241"/>
      <c r="X45" s="241"/>
      <c r="Y45" s="241"/>
      <c r="Z45" s="241">
        <v>28</v>
      </c>
      <c r="AA45" s="241">
        <v>42978</v>
      </c>
      <c r="AB45" s="241" t="e">
        <f>ROUND((AA45-#REF!)/30.5,0)</f>
        <v>#REF!</v>
      </c>
      <c r="AC45" s="241">
        <v>26</v>
      </c>
      <c r="AD45" s="241">
        <v>43007</v>
      </c>
      <c r="AE45" s="241">
        <v>0</v>
      </c>
      <c r="AF45" s="241"/>
      <c r="AG45" s="241"/>
      <c r="AH45" s="241"/>
      <c r="AI45" s="241"/>
      <c r="AJ45" s="241"/>
      <c r="AK45" s="241"/>
      <c r="AL45" s="241"/>
      <c r="AM45" s="241"/>
      <c r="AN45" s="241"/>
      <c r="AO45" s="241"/>
      <c r="AP45" s="241"/>
      <c r="AQ45" s="241"/>
      <c r="AR45" s="241"/>
      <c r="AS45" s="241"/>
      <c r="AT45" s="241"/>
    </row>
    <row r="46" spans="1:46">
      <c r="A46" s="111">
        <v>1984</v>
      </c>
      <c r="B46" s="111" t="s">
        <v>2</v>
      </c>
      <c r="C46" s="241">
        <v>4</v>
      </c>
      <c r="D46" s="241">
        <v>963.8</v>
      </c>
      <c r="E46" s="241">
        <v>2378.1</v>
      </c>
      <c r="F46" s="241">
        <v>3.75</v>
      </c>
      <c r="G46" s="241">
        <v>4.82</v>
      </c>
      <c r="H46" s="241">
        <v>44.64</v>
      </c>
      <c r="I46" s="241">
        <v>47.45</v>
      </c>
      <c r="J46" s="241">
        <v>35.07</v>
      </c>
      <c r="K46" s="241">
        <v>37.159999999999997</v>
      </c>
      <c r="L46" s="241"/>
      <c r="M46" s="241"/>
      <c r="N46" s="241"/>
      <c r="O46" s="241"/>
      <c r="P46" s="241"/>
      <c r="Q46" s="241">
        <v>929.77</v>
      </c>
      <c r="R46" s="241">
        <v>722.57</v>
      </c>
      <c r="S46" s="241">
        <v>1320.35</v>
      </c>
      <c r="T46" s="241">
        <v>489.38</v>
      </c>
      <c r="U46" s="241"/>
      <c r="V46" s="241"/>
      <c r="W46" s="241"/>
      <c r="X46" s="241"/>
      <c r="Y46" s="241"/>
      <c r="Z46" s="241">
        <v>45</v>
      </c>
      <c r="AA46" s="241">
        <v>42874</v>
      </c>
      <c r="AB46" s="241" t="e">
        <f>ROUND((AA46-#REF!)/30.5,0)</f>
        <v>#REF!</v>
      </c>
      <c r="AC46" s="241">
        <v>43</v>
      </c>
      <c r="AD46" s="241">
        <v>43027</v>
      </c>
      <c r="AE46" s="241">
        <v>0</v>
      </c>
      <c r="AF46" s="241">
        <v>37</v>
      </c>
      <c r="AG46" s="241">
        <v>43115</v>
      </c>
      <c r="AH46" s="241">
        <v>3</v>
      </c>
      <c r="AI46" s="241">
        <v>30</v>
      </c>
      <c r="AJ46" s="241">
        <v>43339</v>
      </c>
      <c r="AK46" s="241">
        <f>ROUND((AJ46-AD46)/30.5,0.5)</f>
        <v>10</v>
      </c>
      <c r="AL46" s="241">
        <v>26</v>
      </c>
      <c r="AM46" s="241">
        <v>43455</v>
      </c>
      <c r="AN46" s="241">
        <f>ROUND((AM46-AD46)/30.5,0.5)</f>
        <v>14</v>
      </c>
      <c r="AO46" s="241">
        <v>23</v>
      </c>
      <c r="AP46" s="241">
        <v>43745</v>
      </c>
      <c r="AQ46" s="241">
        <v>24</v>
      </c>
      <c r="AR46" s="241">
        <v>22</v>
      </c>
      <c r="AS46" s="241">
        <v>43745</v>
      </c>
      <c r="AT46" s="241">
        <f>ROUND((AS46-AD46)/30.5,0.5)</f>
        <v>24</v>
      </c>
    </row>
    <row r="47" spans="1:46">
      <c r="A47" s="111">
        <v>2081</v>
      </c>
      <c r="B47" s="111" t="s">
        <v>1</v>
      </c>
      <c r="C47" s="241">
        <v>6</v>
      </c>
      <c r="D47" s="241">
        <v>946.59999999999991</v>
      </c>
      <c r="E47" s="241">
        <v>2068.3000000000002</v>
      </c>
      <c r="F47" s="241">
        <v>3.95</v>
      </c>
      <c r="G47" s="241">
        <v>4.8499999999999996</v>
      </c>
      <c r="H47" s="241">
        <v>39.04</v>
      </c>
      <c r="I47" s="241">
        <v>38.4</v>
      </c>
      <c r="J47" s="241">
        <v>33.93</v>
      </c>
      <c r="K47" s="241">
        <v>26.25</v>
      </c>
      <c r="L47" s="241">
        <v>24.45</v>
      </c>
      <c r="M47" s="241">
        <v>21.89</v>
      </c>
      <c r="N47" s="241"/>
      <c r="O47" s="241"/>
      <c r="P47" s="241"/>
      <c r="Q47" s="241">
        <v>932.62</v>
      </c>
      <c r="R47" s="241">
        <v>608.23</v>
      </c>
      <c r="S47" s="241">
        <v>716.14</v>
      </c>
      <c r="T47" s="241">
        <v>272.51</v>
      </c>
      <c r="U47" s="241">
        <v>360.35</v>
      </c>
      <c r="V47" s="241">
        <v>278.89999999999998</v>
      </c>
      <c r="W47" s="241"/>
      <c r="X47" s="241"/>
      <c r="Y47" s="241"/>
      <c r="Z47" s="241">
        <v>32</v>
      </c>
      <c r="AA47" s="241">
        <v>43006</v>
      </c>
      <c r="AB47" s="241" t="e">
        <f>ROUND((AA47-#REF!)/30.5,0)</f>
        <v>#REF!</v>
      </c>
      <c r="AC47" s="241">
        <v>31</v>
      </c>
      <c r="AD47" s="241">
        <v>43035</v>
      </c>
      <c r="AE47" s="241">
        <v>0</v>
      </c>
      <c r="AF47" s="241">
        <v>31</v>
      </c>
      <c r="AG47" s="241">
        <v>43061</v>
      </c>
      <c r="AH47" s="241">
        <v>1</v>
      </c>
      <c r="AI47" s="241">
        <v>24</v>
      </c>
      <c r="AJ47" s="241">
        <v>43221</v>
      </c>
      <c r="AK47" s="241">
        <v>6</v>
      </c>
      <c r="AL47" s="241">
        <v>24</v>
      </c>
      <c r="AM47" s="241">
        <v>43517</v>
      </c>
      <c r="AN47" s="241">
        <v>16</v>
      </c>
      <c r="AO47" s="241">
        <v>24</v>
      </c>
      <c r="AP47" s="241">
        <v>43543</v>
      </c>
      <c r="AQ47" s="241">
        <v>17</v>
      </c>
      <c r="AR47" s="241">
        <v>21</v>
      </c>
      <c r="AS47" s="241">
        <v>43781</v>
      </c>
      <c r="AT47" s="241">
        <v>24</v>
      </c>
    </row>
    <row r="48" spans="1:46">
      <c r="A48" s="111">
        <v>2082</v>
      </c>
      <c r="B48" s="111" t="s">
        <v>70</v>
      </c>
      <c r="C48" s="241">
        <v>2</v>
      </c>
      <c r="D48" s="241">
        <v>1331.1000000000001</v>
      </c>
      <c r="E48" s="241">
        <v>3471.1000000000004</v>
      </c>
      <c r="F48" s="241">
        <v>2.29</v>
      </c>
      <c r="G48" s="241">
        <v>19.170000000000002</v>
      </c>
      <c r="H48" s="241">
        <v>35.03</v>
      </c>
      <c r="I48" s="241">
        <v>59.06</v>
      </c>
      <c r="J48" s="241"/>
      <c r="K48" s="241"/>
      <c r="L48" s="241"/>
      <c r="M48" s="241"/>
      <c r="N48" s="241"/>
      <c r="O48" s="241"/>
      <c r="P48" s="241"/>
      <c r="Q48" s="241">
        <v>754.64</v>
      </c>
      <c r="R48" s="241">
        <v>883.43</v>
      </c>
      <c r="S48" s="241"/>
      <c r="T48" s="241"/>
      <c r="U48" s="241"/>
      <c r="V48" s="241"/>
      <c r="W48" s="241"/>
      <c r="X48" s="241"/>
      <c r="Y48" s="241"/>
      <c r="Z48" s="241">
        <v>15</v>
      </c>
      <c r="AA48" s="241">
        <v>43006</v>
      </c>
      <c r="AB48" s="241" t="e">
        <f>ROUND((AA48-#REF!)/30.5,0)</f>
        <v>#REF!</v>
      </c>
      <c r="AC48" s="241">
        <v>14</v>
      </c>
      <c r="AD48" s="241">
        <v>43032</v>
      </c>
      <c r="AE48" s="241">
        <v>0</v>
      </c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241"/>
      <c r="AR48" s="241"/>
      <c r="AS48" s="241"/>
      <c r="AT48" s="241"/>
    </row>
    <row r="49" spans="1:46">
      <c r="A49" s="111">
        <v>2089</v>
      </c>
      <c r="B49" s="111" t="s">
        <v>71</v>
      </c>
      <c r="C49" s="241">
        <v>2</v>
      </c>
      <c r="D49" s="241">
        <v>1337.8999999999999</v>
      </c>
      <c r="E49" s="241">
        <v>2658.8999999999996</v>
      </c>
      <c r="F49" s="241">
        <v>5.0199999999999996</v>
      </c>
      <c r="G49" s="241">
        <v>8.1999999999999993</v>
      </c>
      <c r="H49" s="241">
        <v>49.22</v>
      </c>
      <c r="I49" s="241">
        <v>71.84</v>
      </c>
      <c r="J49" s="241"/>
      <c r="K49" s="241"/>
      <c r="L49" s="241"/>
      <c r="M49" s="241"/>
      <c r="N49" s="241"/>
      <c r="O49" s="241"/>
      <c r="P49" s="241"/>
      <c r="Q49" s="241">
        <v>1263.9000000000001</v>
      </c>
      <c r="R49" s="241">
        <v>872.56</v>
      </c>
      <c r="S49" s="241"/>
      <c r="T49" s="241"/>
      <c r="U49" s="241"/>
      <c r="V49" s="241"/>
      <c r="W49" s="241"/>
      <c r="X49" s="241"/>
      <c r="Y49" s="241"/>
      <c r="Z49" s="241">
        <v>43</v>
      </c>
      <c r="AA49" s="241">
        <v>43019</v>
      </c>
      <c r="AB49" s="241" t="e">
        <f>ROUND((AA49-#REF!)/30.5,0)</f>
        <v>#REF!</v>
      </c>
      <c r="AC49" s="241">
        <v>38</v>
      </c>
      <c r="AD49" s="241">
        <v>43047</v>
      </c>
      <c r="AE49" s="241">
        <v>0</v>
      </c>
      <c r="AF49" s="241"/>
      <c r="AG49" s="241"/>
      <c r="AH49" s="241"/>
      <c r="AI49" s="241"/>
      <c r="AJ49" s="241"/>
      <c r="AK49" s="241"/>
      <c r="AL49" s="241"/>
      <c r="AM49" s="241"/>
      <c r="AN49" s="241"/>
      <c r="AO49" s="241"/>
      <c r="AP49" s="241"/>
      <c r="AQ49" s="241"/>
      <c r="AR49" s="241"/>
      <c r="AS49" s="241"/>
      <c r="AT49" s="241"/>
    </row>
    <row r="50" spans="1:46">
      <c r="A50" s="111">
        <v>2102</v>
      </c>
      <c r="B50" s="111" t="s">
        <v>6</v>
      </c>
      <c r="C50" s="241">
        <v>4</v>
      </c>
      <c r="D50" s="241">
        <v>1185.5999999999999</v>
      </c>
      <c r="E50" s="241">
        <v>1457.8999999999999</v>
      </c>
      <c r="F50" s="241">
        <v>3.37</v>
      </c>
      <c r="G50" s="241">
        <v>3.62</v>
      </c>
      <c r="H50" s="241">
        <v>42.78</v>
      </c>
      <c r="I50" s="241">
        <v>44.99</v>
      </c>
      <c r="J50" s="241">
        <v>35.82</v>
      </c>
      <c r="K50" s="241">
        <v>37.090000000000003</v>
      </c>
      <c r="L50" s="241"/>
      <c r="M50" s="241"/>
      <c r="N50" s="241"/>
      <c r="O50" s="241"/>
      <c r="P50" s="241"/>
      <c r="Q50" s="241">
        <v>751.59</v>
      </c>
      <c r="R50" s="241">
        <v>750.78</v>
      </c>
      <c r="S50" s="241">
        <v>731.47</v>
      </c>
      <c r="T50" s="241">
        <v>644.04</v>
      </c>
      <c r="U50" s="241"/>
      <c r="V50" s="241"/>
      <c r="W50" s="241"/>
      <c r="X50" s="241"/>
      <c r="Y50" s="241"/>
      <c r="Z50" s="241">
        <v>33</v>
      </c>
      <c r="AA50" s="241">
        <v>43034</v>
      </c>
      <c r="AB50" s="241" t="e">
        <f>ROUND((AA50-#REF!)/30.5,0)</f>
        <v>#REF!</v>
      </c>
      <c r="AC50" s="241">
        <v>33</v>
      </c>
      <c r="AD50" s="241">
        <v>43062</v>
      </c>
      <c r="AE50" s="241">
        <v>0</v>
      </c>
      <c r="AF50" s="241">
        <v>30</v>
      </c>
      <c r="AG50" s="241">
        <v>43318</v>
      </c>
      <c r="AH50" s="241">
        <v>8</v>
      </c>
      <c r="AI50" s="241">
        <v>27</v>
      </c>
      <c r="AJ50" s="241">
        <v>43378</v>
      </c>
      <c r="AK50" s="241">
        <v>12</v>
      </c>
      <c r="AL50" s="241">
        <v>27</v>
      </c>
      <c r="AM50" s="241">
        <v>43432</v>
      </c>
      <c r="AN50" s="241">
        <v>14</v>
      </c>
      <c r="AO50" s="241"/>
      <c r="AP50" s="241"/>
      <c r="AQ50" s="241"/>
      <c r="AR50" s="241"/>
      <c r="AS50" s="241"/>
      <c r="AT50" s="241"/>
    </row>
    <row r="51" spans="1:46">
      <c r="A51" s="111">
        <v>2130</v>
      </c>
      <c r="B51" s="111" t="s">
        <v>69</v>
      </c>
      <c r="C51" s="241">
        <v>2</v>
      </c>
      <c r="D51" s="241">
        <v>1249.4000000000001</v>
      </c>
      <c r="E51" s="241">
        <v>1872.4</v>
      </c>
      <c r="F51" s="241">
        <v>2.4700000000000002</v>
      </c>
      <c r="G51" s="241">
        <v>10.59</v>
      </c>
      <c r="H51" s="241">
        <v>48.96</v>
      </c>
      <c r="I51" s="241">
        <v>51.89</v>
      </c>
      <c r="J51" s="241"/>
      <c r="K51" s="241"/>
      <c r="L51" s="241"/>
      <c r="M51" s="241"/>
      <c r="N51" s="241"/>
      <c r="O51" s="241"/>
      <c r="P51" s="241"/>
      <c r="Q51" s="241">
        <v>1446.99</v>
      </c>
      <c r="R51" s="241">
        <v>440.16</v>
      </c>
      <c r="S51" s="241"/>
      <c r="T51" s="241"/>
      <c r="U51" s="241"/>
      <c r="V51" s="241"/>
      <c r="W51" s="241"/>
      <c r="X51" s="241"/>
      <c r="Y51" s="241"/>
      <c r="Z51" s="241">
        <v>29</v>
      </c>
      <c r="AA51" s="241">
        <v>43063</v>
      </c>
      <c r="AB51" s="241" t="e">
        <f>ROUND((AA51-#REF!)/30.5,0)</f>
        <v>#REF!</v>
      </c>
      <c r="AC51" s="241">
        <v>26</v>
      </c>
      <c r="AD51" s="241">
        <v>43091</v>
      </c>
      <c r="AE51" s="241">
        <v>0</v>
      </c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  <c r="AP51" s="241"/>
      <c r="AQ51" s="241"/>
      <c r="AR51" s="241"/>
      <c r="AS51" s="241"/>
      <c r="AT51" s="241"/>
    </row>
    <row r="52" spans="1:46">
      <c r="A52" s="111">
        <v>2180</v>
      </c>
      <c r="B52" s="111" t="s">
        <v>67</v>
      </c>
      <c r="C52" s="241">
        <v>2</v>
      </c>
      <c r="D52" s="241">
        <v>1001.3</v>
      </c>
      <c r="E52" s="241">
        <v>1660.1</v>
      </c>
      <c r="F52" s="241">
        <v>2.79</v>
      </c>
      <c r="G52" s="241">
        <v>2.92</v>
      </c>
      <c r="H52" s="241">
        <v>41.93</v>
      </c>
      <c r="I52" s="241">
        <v>45.31</v>
      </c>
      <c r="J52" s="241"/>
      <c r="K52" s="241"/>
      <c r="L52" s="241"/>
      <c r="M52" s="241"/>
      <c r="N52" s="241"/>
      <c r="O52" s="241"/>
      <c r="P52" s="241"/>
      <c r="Q52" s="241">
        <v>938.67</v>
      </c>
      <c r="R52" s="241">
        <v>776.49</v>
      </c>
      <c r="S52" s="241"/>
      <c r="T52" s="241"/>
      <c r="U52" s="241"/>
      <c r="V52" s="241"/>
      <c r="W52" s="241"/>
      <c r="X52" s="241"/>
      <c r="Y52" s="241"/>
      <c r="Z52" s="241">
        <v>29</v>
      </c>
      <c r="AA52" s="241">
        <v>43139</v>
      </c>
      <c r="AB52" s="241" t="e">
        <f>ROUND((AA52-#REF!)/30.5,0)</f>
        <v>#REF!</v>
      </c>
      <c r="AC52" s="241">
        <v>30</v>
      </c>
      <c r="AD52" s="241">
        <v>43168</v>
      </c>
      <c r="AE52" s="241">
        <v>0</v>
      </c>
      <c r="AF52" s="241"/>
      <c r="AG52" s="241"/>
      <c r="AH52" s="241"/>
      <c r="AI52" s="241"/>
      <c r="AJ52" s="241"/>
      <c r="AK52" s="241"/>
      <c r="AL52" s="241"/>
      <c r="AM52" s="241"/>
      <c r="AN52" s="241"/>
      <c r="AO52" s="241"/>
      <c r="AP52" s="241"/>
      <c r="AQ52" s="241"/>
      <c r="AR52" s="241"/>
      <c r="AS52" s="241"/>
      <c r="AT52" s="241"/>
    </row>
    <row r="53" spans="1:46">
      <c r="A53" s="111">
        <v>2167</v>
      </c>
      <c r="B53" s="111" t="s">
        <v>68</v>
      </c>
      <c r="C53" s="241">
        <v>2</v>
      </c>
      <c r="D53" s="241">
        <v>1154.7</v>
      </c>
      <c r="E53" s="241">
        <v>1243.0999999999999</v>
      </c>
      <c r="F53" s="241">
        <v>2.13</v>
      </c>
      <c r="G53" s="241">
        <v>2.19</v>
      </c>
      <c r="H53" s="241">
        <v>57.76</v>
      </c>
      <c r="I53" s="241">
        <v>34.89</v>
      </c>
      <c r="J53" s="241"/>
      <c r="K53" s="241"/>
      <c r="L53" s="241"/>
      <c r="M53" s="241"/>
      <c r="N53" s="241"/>
      <c r="O53" s="241"/>
      <c r="P53" s="241"/>
      <c r="Q53" s="241">
        <v>1075.9000000000001</v>
      </c>
      <c r="R53" s="241">
        <v>1156.23</v>
      </c>
      <c r="S53" s="241"/>
      <c r="T53" s="241"/>
      <c r="U53" s="241"/>
      <c r="V53" s="241"/>
      <c r="W53" s="241"/>
      <c r="X53" s="241"/>
      <c r="Y53" s="241"/>
      <c r="Z53" s="241">
        <v>33</v>
      </c>
      <c r="AA53" s="241">
        <v>43125</v>
      </c>
      <c r="AB53" s="241" t="e">
        <f>ROUND((AA53-#REF!)/30.5,0)</f>
        <v>#REF!</v>
      </c>
      <c r="AC53" s="241">
        <v>32</v>
      </c>
      <c r="AD53" s="241">
        <v>43153</v>
      </c>
      <c r="AE53" s="241">
        <v>0</v>
      </c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  <c r="AP53" s="241"/>
      <c r="AQ53" s="241"/>
      <c r="AR53" s="241"/>
      <c r="AS53" s="241"/>
      <c r="AT53" s="241"/>
    </row>
    <row r="54" spans="1:46">
      <c r="A54" s="111">
        <v>2190</v>
      </c>
      <c r="B54" s="111" t="s">
        <v>66</v>
      </c>
      <c r="C54" s="241">
        <v>2</v>
      </c>
      <c r="D54" s="241">
        <v>1278.7</v>
      </c>
      <c r="E54" s="241">
        <v>1722.5</v>
      </c>
      <c r="F54" s="241">
        <v>2.46</v>
      </c>
      <c r="G54" s="241">
        <v>3.75</v>
      </c>
      <c r="H54" s="241">
        <v>32.06</v>
      </c>
      <c r="I54" s="241">
        <v>50.15</v>
      </c>
      <c r="J54" s="241"/>
      <c r="K54" s="241"/>
      <c r="L54" s="241"/>
      <c r="M54" s="241"/>
      <c r="N54" s="241"/>
      <c r="O54" s="241"/>
      <c r="P54" s="241"/>
      <c r="Q54" s="241">
        <v>1017.73</v>
      </c>
      <c r="R54" s="241">
        <v>642.55999999999995</v>
      </c>
      <c r="S54" s="241"/>
      <c r="T54" s="241"/>
      <c r="U54" s="241"/>
      <c r="V54" s="241"/>
      <c r="W54" s="241"/>
      <c r="X54" s="241"/>
      <c r="Y54" s="241"/>
      <c r="Z54" s="241">
        <v>38</v>
      </c>
      <c r="AA54" s="241">
        <v>43161</v>
      </c>
      <c r="AB54" s="241" t="e">
        <f>ROUND((AA54-#REF!)/30.5,0)</f>
        <v>#REF!</v>
      </c>
      <c r="AC54" s="241">
        <v>37</v>
      </c>
      <c r="AD54" s="241">
        <v>43189</v>
      </c>
      <c r="AE54" s="241">
        <v>0</v>
      </c>
      <c r="AF54" s="241"/>
      <c r="AG54" s="241"/>
      <c r="AH54" s="241"/>
      <c r="AI54" s="241"/>
      <c r="AJ54" s="241"/>
      <c r="AK54" s="241"/>
      <c r="AL54" s="241"/>
      <c r="AM54" s="241"/>
      <c r="AN54" s="241"/>
      <c r="AO54" s="241"/>
      <c r="AP54" s="241"/>
      <c r="AQ54" s="241"/>
      <c r="AR54" s="241"/>
      <c r="AS54" s="241"/>
      <c r="AT54" s="241"/>
    </row>
    <row r="55" spans="1:46">
      <c r="A55" s="111">
        <v>2223</v>
      </c>
      <c r="B55" s="111" t="s">
        <v>65</v>
      </c>
      <c r="C55" s="241">
        <v>2</v>
      </c>
      <c r="D55" s="241">
        <v>915.69999999999993</v>
      </c>
      <c r="E55" s="241">
        <v>1225.9000000000001</v>
      </c>
      <c r="F55" s="241">
        <v>1.7</v>
      </c>
      <c r="G55" s="241">
        <v>2.21</v>
      </c>
      <c r="H55" s="241">
        <v>32.15</v>
      </c>
      <c r="I55" s="241">
        <v>32.14</v>
      </c>
      <c r="J55" s="241"/>
      <c r="K55" s="241"/>
      <c r="L55" s="241"/>
      <c r="M55" s="241"/>
      <c r="N55" s="241"/>
      <c r="O55" s="241"/>
      <c r="P55" s="241"/>
      <c r="Q55" s="241">
        <v>2882.34</v>
      </c>
      <c r="R55" s="241">
        <v>932.1</v>
      </c>
      <c r="S55" s="241"/>
      <c r="T55" s="241"/>
      <c r="U55" s="241"/>
      <c r="V55" s="241"/>
      <c r="W55" s="241"/>
      <c r="X55" s="241"/>
      <c r="Y55" s="241"/>
      <c r="Z55" s="241">
        <v>35</v>
      </c>
      <c r="AA55" s="241">
        <v>43194</v>
      </c>
      <c r="AB55" s="241" t="e">
        <f>ROUND((AA55-#REF!)/30.5,0)</f>
        <v>#REF!</v>
      </c>
      <c r="AC55" s="241">
        <v>33</v>
      </c>
      <c r="AD55" s="241">
        <v>43224</v>
      </c>
      <c r="AE55" s="241">
        <v>0</v>
      </c>
      <c r="AF55" s="241"/>
      <c r="AG55" s="241"/>
      <c r="AH55" s="241"/>
      <c r="AI55" s="241"/>
      <c r="AJ55" s="241"/>
      <c r="AK55" s="241"/>
      <c r="AL55" s="241"/>
      <c r="AM55" s="241"/>
      <c r="AN55" s="241"/>
      <c r="AO55" s="241"/>
      <c r="AP55" s="241"/>
      <c r="AQ55" s="241"/>
      <c r="AR55" s="241"/>
      <c r="AS55" s="241"/>
      <c r="AT55" s="241"/>
    </row>
    <row r="56" spans="1:46">
      <c r="A56" s="111">
        <v>2131</v>
      </c>
      <c r="B56" s="111" t="s">
        <v>9</v>
      </c>
      <c r="C56" s="241">
        <v>6</v>
      </c>
      <c r="D56" s="241">
        <v>1659.5</v>
      </c>
      <c r="E56" s="241">
        <v>2428.1</v>
      </c>
      <c r="F56" s="241">
        <v>5.0199999999999996</v>
      </c>
      <c r="G56" s="241">
        <v>4.1399999999999997</v>
      </c>
      <c r="H56" s="241">
        <v>68.510000000000005</v>
      </c>
      <c r="I56" s="241">
        <v>45.89</v>
      </c>
      <c r="J56" s="241">
        <v>79.08</v>
      </c>
      <c r="K56" s="241">
        <v>36.65</v>
      </c>
      <c r="L56" s="241"/>
      <c r="M56" s="241"/>
      <c r="N56" s="241"/>
      <c r="O56" s="241"/>
      <c r="P56" s="241"/>
      <c r="Q56" s="241">
        <v>1257.49</v>
      </c>
      <c r="R56" s="241">
        <v>1119.47</v>
      </c>
      <c r="S56" s="241">
        <v>1159.5899999999999</v>
      </c>
      <c r="T56" s="241">
        <v>1154</v>
      </c>
      <c r="U56" s="241"/>
      <c r="V56" s="241"/>
      <c r="W56" s="241"/>
      <c r="X56" s="241"/>
      <c r="Y56" s="241"/>
      <c r="Z56" s="241">
        <v>35</v>
      </c>
      <c r="AA56" s="241">
        <v>43068</v>
      </c>
      <c r="AB56" s="241" t="e">
        <f>ROUND((AA56-#REF!)/30.5,0)</f>
        <v>#REF!</v>
      </c>
      <c r="AC56" s="241">
        <v>32</v>
      </c>
      <c r="AD56" s="241">
        <v>43097</v>
      </c>
      <c r="AE56" s="241">
        <v>0</v>
      </c>
      <c r="AF56" s="241">
        <v>29</v>
      </c>
      <c r="AG56" s="241">
        <v>43258</v>
      </c>
      <c r="AH56" s="241">
        <v>5</v>
      </c>
      <c r="AI56" s="241">
        <v>24</v>
      </c>
      <c r="AJ56" s="241">
        <v>43297</v>
      </c>
      <c r="AK56" s="241">
        <v>6</v>
      </c>
      <c r="AL56" s="241">
        <v>22</v>
      </c>
      <c r="AM56" s="241">
        <v>43469</v>
      </c>
      <c r="AN56" s="241">
        <v>12</v>
      </c>
      <c r="AO56" s="241"/>
      <c r="AP56" s="241"/>
      <c r="AQ56" s="241"/>
      <c r="AR56" s="241"/>
      <c r="AS56" s="241"/>
      <c r="AT56" s="241"/>
    </row>
    <row r="57" spans="1:46">
      <c r="A57" s="111">
        <v>2272</v>
      </c>
      <c r="B57" s="111" t="s">
        <v>11</v>
      </c>
      <c r="C57" s="241">
        <v>4</v>
      </c>
      <c r="D57" s="241">
        <v>1426.1000000000001</v>
      </c>
      <c r="E57" s="241">
        <v>1923.7</v>
      </c>
      <c r="F57" s="241">
        <v>4.26</v>
      </c>
      <c r="G57" s="241">
        <v>5.34</v>
      </c>
      <c r="H57" s="241">
        <v>71.72</v>
      </c>
      <c r="I57" s="241">
        <v>60.04</v>
      </c>
      <c r="J57" s="241">
        <v>38.46</v>
      </c>
      <c r="K57" s="241">
        <v>38.46</v>
      </c>
      <c r="L57" s="241"/>
      <c r="M57" s="241"/>
      <c r="N57" s="241"/>
      <c r="O57" s="241"/>
      <c r="P57" s="241"/>
      <c r="Q57" s="241">
        <v>1007.61</v>
      </c>
      <c r="R57" s="241">
        <v>934.53</v>
      </c>
      <c r="S57" s="241">
        <v>801.67</v>
      </c>
      <c r="T57" s="241">
        <v>637.16999999999996</v>
      </c>
      <c r="U57" s="241"/>
      <c r="V57" s="241"/>
      <c r="W57" s="241"/>
      <c r="X57" s="241"/>
      <c r="Y57" s="241"/>
      <c r="Z57" s="241">
        <v>46</v>
      </c>
      <c r="AA57" s="241">
        <v>43272</v>
      </c>
      <c r="AB57" s="241" t="e">
        <f>ROUND((AA57-#REF!)/30.5,0)</f>
        <v>#REF!</v>
      </c>
      <c r="AC57" s="241">
        <v>46</v>
      </c>
      <c r="AD57" s="241">
        <v>43300</v>
      </c>
      <c r="AE57" s="241">
        <v>0</v>
      </c>
      <c r="AF57" s="241">
        <v>46</v>
      </c>
      <c r="AG57" s="241">
        <v>43426</v>
      </c>
      <c r="AH57" s="241">
        <v>4</v>
      </c>
      <c r="AI57" s="241">
        <v>45</v>
      </c>
      <c r="AJ57" s="241">
        <v>43454</v>
      </c>
      <c r="AK57" s="241">
        <v>5</v>
      </c>
      <c r="AL57" s="241">
        <v>45</v>
      </c>
      <c r="AM57" s="241">
        <v>43480</v>
      </c>
      <c r="AN57" s="241">
        <v>6</v>
      </c>
      <c r="AO57" s="241"/>
      <c r="AP57" s="241"/>
      <c r="AQ57" s="241"/>
      <c r="AR57" s="241"/>
      <c r="AS57" s="241"/>
      <c r="AT57" s="241"/>
    </row>
    <row r="58" spans="1:46">
      <c r="A58" s="111">
        <v>2288</v>
      </c>
      <c r="B58" s="111" t="s">
        <v>58</v>
      </c>
      <c r="C58" s="241">
        <v>2</v>
      </c>
      <c r="D58" s="241">
        <v>1748.7</v>
      </c>
      <c r="E58" s="241">
        <v>2177.5</v>
      </c>
      <c r="F58" s="241">
        <v>2.21</v>
      </c>
      <c r="G58" s="241">
        <v>2.99</v>
      </c>
      <c r="H58" s="241">
        <v>45.16</v>
      </c>
      <c r="I58" s="241">
        <v>59.3</v>
      </c>
      <c r="J58" s="241"/>
      <c r="K58" s="241"/>
      <c r="L58" s="241"/>
      <c r="M58" s="241"/>
      <c r="N58" s="241"/>
      <c r="O58" s="241"/>
      <c r="P58" s="241"/>
      <c r="Q58" s="241">
        <v>2256.33</v>
      </c>
      <c r="R58" s="241">
        <v>1441.81</v>
      </c>
      <c r="S58" s="241"/>
      <c r="T58" s="241"/>
      <c r="U58" s="241"/>
      <c r="V58" s="241"/>
      <c r="W58" s="241"/>
      <c r="X58" s="241"/>
      <c r="Y58" s="241"/>
      <c r="Z58" s="241">
        <v>43</v>
      </c>
      <c r="AA58" s="241">
        <v>43294</v>
      </c>
      <c r="AB58" s="241" t="e">
        <f>ROUND((AA58-#REF!)/30.5,0)</f>
        <v>#REF!</v>
      </c>
      <c r="AC58" s="241">
        <v>43</v>
      </c>
      <c r="AD58" s="241">
        <v>43320</v>
      </c>
      <c r="AE58" s="241">
        <v>0</v>
      </c>
      <c r="AF58" s="241">
        <v>39</v>
      </c>
      <c r="AG58" s="241">
        <v>43689</v>
      </c>
      <c r="AH58" s="241">
        <v>12</v>
      </c>
      <c r="AI58" s="241"/>
      <c r="AJ58" s="241"/>
      <c r="AK58" s="241"/>
      <c r="AL58" s="241"/>
      <c r="AM58" s="241"/>
      <c r="AN58" s="241"/>
      <c r="AO58" s="241"/>
      <c r="AP58" s="241"/>
      <c r="AQ58" s="241"/>
      <c r="AR58" s="241"/>
      <c r="AS58" s="241"/>
      <c r="AT58" s="241"/>
    </row>
    <row r="59" spans="1:46">
      <c r="A59" s="111">
        <v>2334</v>
      </c>
      <c r="B59" s="111" t="s">
        <v>81</v>
      </c>
      <c r="C59" s="241">
        <v>2</v>
      </c>
      <c r="D59" s="241">
        <v>853.8</v>
      </c>
      <c r="E59" s="241">
        <v>1668.1999999999998</v>
      </c>
      <c r="F59" s="241">
        <v>2.1</v>
      </c>
      <c r="G59" s="241">
        <v>4.67</v>
      </c>
      <c r="H59" s="241">
        <v>58.98</v>
      </c>
      <c r="I59" s="241">
        <v>88.28</v>
      </c>
      <c r="J59" s="241"/>
      <c r="K59" s="241"/>
      <c r="L59" s="241"/>
      <c r="M59" s="241"/>
      <c r="N59" s="241"/>
      <c r="O59" s="241"/>
      <c r="P59" s="241"/>
      <c r="Q59" s="241">
        <v>954.41</v>
      </c>
      <c r="R59" s="241">
        <v>831.47</v>
      </c>
      <c r="S59" s="241"/>
      <c r="T59" s="241"/>
      <c r="U59" s="241"/>
      <c r="V59" s="241"/>
      <c r="W59" s="241"/>
      <c r="X59" s="241"/>
      <c r="Y59" s="241"/>
      <c r="Z59" s="241">
        <v>34</v>
      </c>
      <c r="AA59" s="241">
        <v>43356</v>
      </c>
      <c r="AB59" s="241" t="e">
        <f>ROUND((AA59-#REF!)/30.5,0)</f>
        <v>#REF!</v>
      </c>
      <c r="AC59" s="241">
        <v>33</v>
      </c>
      <c r="AD59" s="241">
        <v>43383</v>
      </c>
      <c r="AE59" s="241">
        <v>0</v>
      </c>
      <c r="AF59" s="241">
        <v>29</v>
      </c>
      <c r="AG59" s="241">
        <v>43586</v>
      </c>
      <c r="AH59" s="241">
        <v>7</v>
      </c>
      <c r="AI59" s="241">
        <v>22</v>
      </c>
      <c r="AJ59" s="241">
        <v>43837</v>
      </c>
      <c r="AK59" s="241">
        <v>15</v>
      </c>
      <c r="AL59" s="241"/>
      <c r="AM59" s="241"/>
      <c r="AN59" s="241"/>
      <c r="AO59" s="241"/>
      <c r="AP59" s="241"/>
      <c r="AQ59" s="241"/>
      <c r="AR59" s="241"/>
      <c r="AS59" s="241"/>
      <c r="AT59" s="241"/>
    </row>
    <row r="60" spans="1:46">
      <c r="A60" s="111">
        <v>2335</v>
      </c>
      <c r="B60" s="111" t="s">
        <v>10</v>
      </c>
      <c r="C60" s="241">
        <v>4</v>
      </c>
      <c r="D60" s="241">
        <v>924.80000000000007</v>
      </c>
      <c r="E60" s="241">
        <v>1744.6000000000001</v>
      </c>
      <c r="F60" s="241">
        <v>3.3000000000000003</v>
      </c>
      <c r="G60" s="241">
        <v>4.2</v>
      </c>
      <c r="H60" s="241">
        <v>37.14</v>
      </c>
      <c r="I60" s="241">
        <v>42.78</v>
      </c>
      <c r="J60" s="241">
        <v>29.4</v>
      </c>
      <c r="K60" s="241">
        <v>66.069999999999993</v>
      </c>
      <c r="L60" s="241"/>
      <c r="M60" s="241"/>
      <c r="N60" s="241"/>
      <c r="O60" s="241"/>
      <c r="P60" s="241"/>
      <c r="Q60" s="241">
        <v>1263.81</v>
      </c>
      <c r="R60" s="241">
        <v>731.05</v>
      </c>
      <c r="S60" s="241">
        <v>1079.76</v>
      </c>
      <c r="T60" s="241">
        <v>771.38</v>
      </c>
      <c r="U60" s="241"/>
      <c r="V60" s="241"/>
      <c r="W60" s="241"/>
      <c r="X60" s="241"/>
      <c r="Y60" s="241"/>
      <c r="Z60" s="241">
        <v>41</v>
      </c>
      <c r="AA60" s="241">
        <v>43356</v>
      </c>
      <c r="AB60" s="241" t="e">
        <f>ROUND((AA60-#REF!)/30.5,0)</f>
        <v>#REF!</v>
      </c>
      <c r="AC60" s="241">
        <v>39</v>
      </c>
      <c r="AD60" s="241">
        <v>43383</v>
      </c>
      <c r="AE60" s="241">
        <v>0</v>
      </c>
      <c r="AF60" s="241">
        <v>38</v>
      </c>
      <c r="AG60" s="241">
        <v>43531</v>
      </c>
      <c r="AH60" s="241">
        <v>5</v>
      </c>
      <c r="AI60" s="241">
        <v>37</v>
      </c>
      <c r="AJ60" s="241">
        <v>43567</v>
      </c>
      <c r="AK60" s="241">
        <v>6</v>
      </c>
      <c r="AL60" s="241">
        <v>36</v>
      </c>
      <c r="AM60" s="241">
        <v>43595</v>
      </c>
      <c r="AN60" s="241">
        <v>7</v>
      </c>
      <c r="AO60" s="241">
        <v>29</v>
      </c>
      <c r="AP60" s="241">
        <v>43829</v>
      </c>
      <c r="AQ60" s="241">
        <v>15</v>
      </c>
      <c r="AR60" s="241"/>
      <c r="AS60" s="241"/>
      <c r="AT60" s="241"/>
    </row>
    <row r="61" spans="1:46">
      <c r="A61" s="111">
        <v>2339</v>
      </c>
      <c r="B61" s="111" t="s">
        <v>64</v>
      </c>
      <c r="C61" s="241">
        <v>2</v>
      </c>
      <c r="D61" s="241">
        <v>1213.0999999999999</v>
      </c>
      <c r="E61" s="241">
        <v>1475.1</v>
      </c>
      <c r="F61" s="241">
        <v>1.57</v>
      </c>
      <c r="G61" s="241">
        <v>1.83</v>
      </c>
      <c r="H61" s="241">
        <v>24.1</v>
      </c>
      <c r="I61" s="241">
        <v>30.77</v>
      </c>
      <c r="J61" s="241"/>
      <c r="K61" s="241"/>
      <c r="L61" s="241"/>
      <c r="M61" s="241"/>
      <c r="N61" s="241"/>
      <c r="O61" s="241"/>
      <c r="P61" s="241"/>
      <c r="Q61" s="241">
        <v>977.88</v>
      </c>
      <c r="R61" s="241">
        <v>754.02</v>
      </c>
      <c r="S61" s="241"/>
      <c r="T61" s="241"/>
      <c r="U61" s="241"/>
      <c r="V61" s="241"/>
      <c r="W61" s="241"/>
      <c r="X61" s="241"/>
      <c r="Y61" s="241"/>
      <c r="Z61" s="241">
        <v>42</v>
      </c>
      <c r="AA61" s="241">
        <v>43364</v>
      </c>
      <c r="AB61" s="241" t="e">
        <f>ROUND((AA61-#REF!)/30.5,0)</f>
        <v>#REF!</v>
      </c>
      <c r="AC61" s="241">
        <v>42</v>
      </c>
      <c r="AD61" s="241">
        <v>43392</v>
      </c>
      <c r="AE61" s="241">
        <v>0</v>
      </c>
      <c r="AF61" s="241"/>
      <c r="AG61" s="241"/>
      <c r="AH61" s="241"/>
      <c r="AI61" s="241"/>
      <c r="AJ61" s="241"/>
      <c r="AK61" s="241"/>
      <c r="AL61" s="241"/>
      <c r="AM61" s="241"/>
      <c r="AN61" s="241"/>
      <c r="AO61" s="241"/>
      <c r="AP61" s="241"/>
      <c r="AQ61" s="241"/>
      <c r="AR61" s="241"/>
      <c r="AS61" s="241"/>
      <c r="AT61" s="241"/>
    </row>
    <row r="62" spans="1:46">
      <c r="A62" s="111">
        <v>2103</v>
      </c>
      <c r="B62" s="111" t="s">
        <v>13</v>
      </c>
      <c r="C62" s="241">
        <v>4</v>
      </c>
      <c r="D62" s="241">
        <v>1593</v>
      </c>
      <c r="E62" s="241">
        <v>2936.7000000000003</v>
      </c>
      <c r="F62" s="241">
        <v>1.825</v>
      </c>
      <c r="G62" s="241">
        <v>13.600000000000001</v>
      </c>
      <c r="H62" s="241">
        <v>30.85</v>
      </c>
      <c r="I62" s="241">
        <v>45.62</v>
      </c>
      <c r="J62" s="241">
        <v>26.65</v>
      </c>
      <c r="K62" s="241">
        <v>17.3</v>
      </c>
      <c r="L62" s="241"/>
      <c r="M62" s="241"/>
      <c r="N62" s="241"/>
      <c r="O62" s="241"/>
      <c r="P62" s="241"/>
      <c r="Q62" s="241">
        <v>829.95</v>
      </c>
      <c r="R62" s="241">
        <v>578.34</v>
      </c>
      <c r="S62" s="241">
        <v>277.41000000000003</v>
      </c>
      <c r="T62" s="241">
        <v>801.16</v>
      </c>
      <c r="U62" s="241"/>
      <c r="V62" s="241"/>
      <c r="W62" s="241"/>
      <c r="X62" s="241"/>
      <c r="Y62" s="241"/>
      <c r="Z62" s="241">
        <v>47</v>
      </c>
      <c r="AA62" s="241">
        <v>43035</v>
      </c>
      <c r="AB62" s="241" t="e">
        <f>ROUND((AA62-#REF!)/30.5,0)</f>
        <v>#REF!</v>
      </c>
      <c r="AC62" s="241">
        <v>47</v>
      </c>
      <c r="AD62" s="241">
        <v>43119</v>
      </c>
      <c r="AE62" s="241">
        <v>0</v>
      </c>
      <c r="AF62" s="241">
        <v>42</v>
      </c>
      <c r="AG62" s="241">
        <v>43395</v>
      </c>
      <c r="AH62" s="241">
        <v>9</v>
      </c>
      <c r="AI62" s="241">
        <v>40</v>
      </c>
      <c r="AJ62" s="241">
        <v>43556</v>
      </c>
      <c r="AK62" s="241">
        <v>15</v>
      </c>
      <c r="AL62" s="241">
        <v>36</v>
      </c>
      <c r="AM62" s="241">
        <v>43699</v>
      </c>
      <c r="AN62" s="241">
        <v>19</v>
      </c>
      <c r="AO62" s="241">
        <v>33</v>
      </c>
      <c r="AP62" s="241">
        <v>43850</v>
      </c>
      <c r="AQ62" s="241">
        <v>24</v>
      </c>
      <c r="AR62" s="241">
        <v>31</v>
      </c>
      <c r="AS62" s="241">
        <v>43934</v>
      </c>
      <c r="AT62" s="241">
        <v>27</v>
      </c>
    </row>
    <row r="63" spans="1:46">
      <c r="A63" s="111">
        <v>2364</v>
      </c>
      <c r="B63" s="111" t="s">
        <v>63</v>
      </c>
      <c r="C63" s="241">
        <v>2</v>
      </c>
      <c r="D63" s="241">
        <v>850.19999999999993</v>
      </c>
      <c r="E63" s="241">
        <v>1626.5</v>
      </c>
      <c r="F63" s="241">
        <v>1.38</v>
      </c>
      <c r="G63" s="241">
        <v>2.4700000000000002</v>
      </c>
      <c r="H63" s="241">
        <v>21.98</v>
      </c>
      <c r="I63" s="241">
        <v>41.06</v>
      </c>
      <c r="J63" s="241"/>
      <c r="K63" s="241"/>
      <c r="L63" s="241"/>
      <c r="M63" s="241"/>
      <c r="N63" s="241"/>
      <c r="O63" s="241"/>
      <c r="P63" s="241"/>
      <c r="Q63" s="241">
        <v>779.06</v>
      </c>
      <c r="R63" s="241">
        <v>255.42</v>
      </c>
      <c r="S63" s="241"/>
      <c r="T63" s="241"/>
      <c r="U63" s="241"/>
      <c r="V63" s="241"/>
      <c r="W63" s="241"/>
      <c r="X63" s="241"/>
      <c r="Y63" s="241"/>
      <c r="Z63" s="241">
        <v>14</v>
      </c>
      <c r="AA63" s="241">
        <v>43398</v>
      </c>
      <c r="AB63" s="241" t="e">
        <f>ROUND((AA63-#REF!)/30.5,0)</f>
        <v>#REF!</v>
      </c>
      <c r="AC63" s="241">
        <v>13</v>
      </c>
      <c r="AD63" s="241">
        <v>43427</v>
      </c>
      <c r="AE63" s="241">
        <v>0</v>
      </c>
      <c r="AF63" s="241"/>
      <c r="AG63" s="241"/>
      <c r="AH63" s="241"/>
      <c r="AI63" s="241"/>
      <c r="AJ63" s="241"/>
      <c r="AK63" s="241"/>
      <c r="AL63" s="241"/>
      <c r="AM63" s="241"/>
      <c r="AN63" s="241"/>
      <c r="AO63" s="241"/>
      <c r="AP63" s="241"/>
      <c r="AQ63" s="241"/>
      <c r="AR63" s="241"/>
      <c r="AS63" s="241"/>
      <c r="AT63" s="241"/>
    </row>
    <row r="64" spans="1:46">
      <c r="A64" s="111">
        <v>2383</v>
      </c>
      <c r="B64" s="111" t="s">
        <v>12</v>
      </c>
      <c r="C64" s="241">
        <v>4</v>
      </c>
      <c r="D64" s="241">
        <v>555.1</v>
      </c>
      <c r="E64" s="241">
        <v>4999</v>
      </c>
      <c r="F64" s="241">
        <v>2.15</v>
      </c>
      <c r="G64" s="241">
        <v>28.900000000000002</v>
      </c>
      <c r="H64" s="241">
        <v>35.119999999999997</v>
      </c>
      <c r="I64" s="241">
        <v>157.83000000000001</v>
      </c>
      <c r="J64" s="241">
        <v>30.54</v>
      </c>
      <c r="K64" s="241">
        <v>55.24</v>
      </c>
      <c r="L64" s="241"/>
      <c r="M64" s="241"/>
      <c r="N64" s="241"/>
      <c r="O64" s="241"/>
      <c r="P64" s="241">
        <f>STDEV(Q59:Q127)</f>
        <v>432.38673188786413</v>
      </c>
      <c r="Q64" s="241">
        <v>870.65</v>
      </c>
      <c r="R64" s="241">
        <v>1990.28</v>
      </c>
      <c r="S64" s="241">
        <v>1475.54</v>
      </c>
      <c r="T64" s="241">
        <v>523.08000000000004</v>
      </c>
      <c r="U64" s="241"/>
      <c r="V64" s="241"/>
      <c r="W64" s="241"/>
      <c r="X64" s="241"/>
      <c r="Y64" s="241"/>
      <c r="Z64" s="241">
        <v>43</v>
      </c>
      <c r="AA64" s="241">
        <v>43426</v>
      </c>
      <c r="AB64" s="241" t="e">
        <f>ROUND((AA64-#REF!)/30.5,0)</f>
        <v>#REF!</v>
      </c>
      <c r="AC64" s="241">
        <v>43</v>
      </c>
      <c r="AD64" s="241">
        <v>43454</v>
      </c>
      <c r="AE64" s="241">
        <v>0</v>
      </c>
      <c r="AF64" s="241">
        <v>43</v>
      </c>
      <c r="AG64" s="241">
        <v>43480</v>
      </c>
      <c r="AH64" s="241">
        <v>1</v>
      </c>
      <c r="AI64" s="241">
        <v>39</v>
      </c>
      <c r="AJ64" s="241">
        <v>43707</v>
      </c>
      <c r="AK64" s="241">
        <v>8</v>
      </c>
      <c r="AL64" s="241">
        <v>39</v>
      </c>
      <c r="AM64" s="241">
        <v>43756</v>
      </c>
      <c r="AN64" s="241">
        <v>10</v>
      </c>
      <c r="AO64" s="241"/>
      <c r="AP64" s="241"/>
      <c r="AQ64" s="241"/>
      <c r="AR64" s="241"/>
      <c r="AS64" s="241"/>
      <c r="AT64" s="241"/>
    </row>
    <row r="65" spans="1:46">
      <c r="A65" s="111">
        <v>2384</v>
      </c>
      <c r="B65" s="111" t="s">
        <v>59</v>
      </c>
      <c r="C65" s="241">
        <v>2</v>
      </c>
      <c r="D65" s="241">
        <v>1169</v>
      </c>
      <c r="E65" s="241">
        <v>1839.5</v>
      </c>
      <c r="F65" s="241">
        <v>1.96</v>
      </c>
      <c r="G65" s="241">
        <v>5.04</v>
      </c>
      <c r="H65" s="241">
        <v>47.33</v>
      </c>
      <c r="I65" s="241">
        <v>68.900000000000006</v>
      </c>
      <c r="J65" s="241"/>
      <c r="K65" s="241"/>
      <c r="L65" s="241"/>
      <c r="M65" s="241"/>
      <c r="N65" s="241"/>
      <c r="O65" s="241"/>
      <c r="P65" s="241"/>
      <c r="Q65" s="241">
        <v>854.02</v>
      </c>
      <c r="R65" s="241">
        <v>1220.49</v>
      </c>
      <c r="S65" s="241"/>
      <c r="T65" s="241"/>
      <c r="U65" s="241"/>
      <c r="V65" s="241"/>
      <c r="W65" s="241"/>
      <c r="X65" s="241"/>
      <c r="Y65" s="241"/>
      <c r="Z65" s="241">
        <v>33</v>
      </c>
      <c r="AA65" s="241">
        <v>43427</v>
      </c>
      <c r="AB65" s="241" t="e">
        <f>ROUND((AA65-#REF!)/30.5,0)</f>
        <v>#REF!</v>
      </c>
      <c r="AC65" s="241">
        <v>33</v>
      </c>
      <c r="AD65" s="241">
        <v>43455</v>
      </c>
      <c r="AE65" s="241">
        <v>0</v>
      </c>
      <c r="AF65" s="241">
        <v>32</v>
      </c>
      <c r="AG65" s="241">
        <v>43481</v>
      </c>
      <c r="AH65" s="241"/>
      <c r="AI65" s="241">
        <v>22</v>
      </c>
      <c r="AJ65" s="241">
        <v>43870</v>
      </c>
      <c r="AK65" s="241">
        <v>14</v>
      </c>
      <c r="AL65" s="241"/>
      <c r="AM65" s="241"/>
      <c r="AN65" s="241"/>
      <c r="AO65" s="241"/>
      <c r="AP65" s="241"/>
      <c r="AQ65" s="241"/>
      <c r="AR65" s="241"/>
      <c r="AS65" s="241"/>
      <c r="AT65" s="241"/>
    </row>
    <row r="66" spans="1:46">
      <c r="A66" s="111">
        <v>2258</v>
      </c>
      <c r="B66" s="111" t="s">
        <v>27</v>
      </c>
      <c r="C66" s="241">
        <v>2</v>
      </c>
      <c r="D66" s="241">
        <v>849.80000000000007</v>
      </c>
      <c r="E66" s="241">
        <v>3463.6000000000004</v>
      </c>
      <c r="F66" s="241">
        <v>0.35000000000000003</v>
      </c>
      <c r="G66" s="241">
        <v>3.0750000000000002</v>
      </c>
      <c r="H66" s="241">
        <v>61.61</v>
      </c>
      <c r="I66" s="241">
        <v>70.900000000000006</v>
      </c>
      <c r="J66" s="241"/>
      <c r="K66" s="241"/>
      <c r="L66" s="241"/>
      <c r="M66" s="241"/>
      <c r="N66" s="241"/>
      <c r="O66" s="241"/>
      <c r="P66" s="241"/>
      <c r="Q66" s="241">
        <v>862.79</v>
      </c>
      <c r="R66" s="241">
        <v>354.93</v>
      </c>
      <c r="S66" s="241"/>
      <c r="T66" s="241"/>
      <c r="U66" s="241"/>
      <c r="V66" s="241"/>
      <c r="W66" s="241"/>
      <c r="X66" s="241"/>
      <c r="Y66" s="241"/>
      <c r="Z66" s="241">
        <v>41</v>
      </c>
      <c r="AA66" s="241">
        <v>43238</v>
      </c>
      <c r="AB66" s="241" t="e">
        <f>ROUND((AA66-#REF!)/30.5,0)</f>
        <v>#REF!</v>
      </c>
      <c r="AC66" s="241">
        <v>39</v>
      </c>
      <c r="AD66" s="241">
        <v>43482</v>
      </c>
      <c r="AE66" s="241">
        <v>0</v>
      </c>
      <c r="AF66" s="241">
        <v>39</v>
      </c>
      <c r="AG66" s="241">
        <v>43598</v>
      </c>
      <c r="AH66" s="241">
        <v>4</v>
      </c>
      <c r="AI66" s="241">
        <v>37</v>
      </c>
      <c r="AJ66" s="241">
        <v>43682</v>
      </c>
      <c r="AK66" s="241">
        <v>7</v>
      </c>
      <c r="AL66" s="241">
        <v>33</v>
      </c>
      <c r="AM66" s="241">
        <v>43773</v>
      </c>
      <c r="AN66" s="241">
        <v>10</v>
      </c>
      <c r="AO66" s="241"/>
      <c r="AP66" s="241"/>
      <c r="AQ66" s="241"/>
      <c r="AR66" s="241"/>
      <c r="AS66" s="241"/>
      <c r="AT66" s="241"/>
    </row>
    <row r="67" spans="1:46">
      <c r="A67" s="111">
        <v>2445</v>
      </c>
      <c r="B67" s="111" t="s">
        <v>16</v>
      </c>
      <c r="C67" s="241">
        <v>3</v>
      </c>
      <c r="D67" s="241">
        <v>725</v>
      </c>
      <c r="E67" s="241">
        <v>2763.2</v>
      </c>
      <c r="F67" s="241">
        <v>4.6750000000000007</v>
      </c>
      <c r="G67" s="241">
        <v>19.574999999999999</v>
      </c>
      <c r="H67" s="241">
        <v>62.1</v>
      </c>
      <c r="I67" s="241">
        <v>50.64</v>
      </c>
      <c r="J67" s="241">
        <v>57.52</v>
      </c>
      <c r="K67" s="241"/>
      <c r="L67" s="241"/>
      <c r="M67" s="241"/>
      <c r="N67" s="241"/>
      <c r="O67" s="241"/>
      <c r="P67" s="241">
        <f>AVERAGE(R61:R129)</f>
        <v>920.83391304347845</v>
      </c>
      <c r="Q67" s="241">
        <v>987.25</v>
      </c>
      <c r="R67" s="241">
        <v>335.6</v>
      </c>
      <c r="S67" s="241">
        <v>868.33</v>
      </c>
      <c r="T67" s="241"/>
      <c r="U67" s="241"/>
      <c r="V67" s="241"/>
      <c r="W67" s="241"/>
      <c r="X67" s="241"/>
      <c r="Y67" s="241"/>
      <c r="Z67" s="241">
        <v>42</v>
      </c>
      <c r="AA67" s="241">
        <v>43504</v>
      </c>
      <c r="AB67" s="241" t="e">
        <f>ROUND((AA67-#REF!)/30.5,0)</f>
        <v>#REF!</v>
      </c>
      <c r="AC67" s="241">
        <v>42</v>
      </c>
      <c r="AD67" s="241">
        <v>43532</v>
      </c>
      <c r="AE67" s="241">
        <v>0</v>
      </c>
      <c r="AF67" s="241">
        <v>42</v>
      </c>
      <c r="AG67" s="241">
        <v>43558</v>
      </c>
      <c r="AH67" s="241">
        <v>1</v>
      </c>
      <c r="AI67" s="241">
        <v>42</v>
      </c>
      <c r="AJ67" s="241">
        <v>43740</v>
      </c>
      <c r="AK67" s="241">
        <v>7</v>
      </c>
      <c r="AL67" s="241"/>
      <c r="AM67" s="241"/>
      <c r="AN67" s="241"/>
      <c r="AO67" s="241"/>
      <c r="AP67" s="241"/>
      <c r="AQ67" s="241"/>
      <c r="AR67" s="241"/>
      <c r="AS67" s="241"/>
      <c r="AT67" s="241"/>
    </row>
    <row r="68" spans="1:46">
      <c r="A68" s="111">
        <v>2491</v>
      </c>
      <c r="B68" s="111" t="s">
        <v>48</v>
      </c>
      <c r="C68" s="241">
        <v>2</v>
      </c>
      <c r="D68" s="241">
        <v>664.7</v>
      </c>
      <c r="E68" s="241">
        <v>1053</v>
      </c>
      <c r="F68" s="241">
        <v>2.52</v>
      </c>
      <c r="G68" s="241">
        <v>2.52</v>
      </c>
      <c r="H68" s="241">
        <v>31.51</v>
      </c>
      <c r="I68" s="241">
        <v>27.85</v>
      </c>
      <c r="J68" s="241"/>
      <c r="K68" s="241"/>
      <c r="L68" s="241"/>
      <c r="M68" s="241"/>
      <c r="N68" s="241"/>
      <c r="O68" s="241"/>
      <c r="P68" s="241"/>
      <c r="Q68" s="241">
        <v>1161.21</v>
      </c>
      <c r="R68" s="241">
        <v>947.18</v>
      </c>
      <c r="S68" s="241"/>
      <c r="T68" s="241"/>
      <c r="U68" s="241"/>
      <c r="V68" s="241"/>
      <c r="W68" s="241"/>
      <c r="X68" s="241"/>
      <c r="Y68" s="241"/>
      <c r="Z68" s="241">
        <v>29</v>
      </c>
      <c r="AA68" s="241">
        <v>43553</v>
      </c>
      <c r="AB68" s="241" t="e">
        <f>ROUND((AA68-#REF!)/30.5,0)</f>
        <v>#REF!</v>
      </c>
      <c r="AC68" s="241">
        <v>29</v>
      </c>
      <c r="AD68" s="241">
        <v>43553</v>
      </c>
      <c r="AE68" s="241">
        <v>-1</v>
      </c>
      <c r="AF68" s="241">
        <v>28</v>
      </c>
      <c r="AG68" s="241">
        <v>43581</v>
      </c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  <c r="AR68" s="241"/>
      <c r="AS68" s="241"/>
      <c r="AT68" s="241"/>
    </row>
    <row r="69" spans="1:46">
      <c r="A69" s="111">
        <v>2392</v>
      </c>
      <c r="B69" s="111" t="s">
        <v>19</v>
      </c>
      <c r="C69" s="241">
        <v>2</v>
      </c>
      <c r="D69" s="241">
        <v>1562.8999999999999</v>
      </c>
      <c r="E69" s="241">
        <v>2461.8000000000002</v>
      </c>
      <c r="F69" s="241">
        <v>5.3000000000000007</v>
      </c>
      <c r="G69" s="241">
        <v>25.775000000000002</v>
      </c>
      <c r="H69" s="241">
        <v>81.03</v>
      </c>
      <c r="I69" s="241">
        <v>50.41</v>
      </c>
      <c r="J69" s="241"/>
      <c r="K69" s="241"/>
      <c r="L69" s="241"/>
      <c r="M69" s="241"/>
      <c r="N69" s="241"/>
      <c r="O69" s="241"/>
      <c r="P69" s="241"/>
      <c r="Q69" s="241">
        <v>1685.76</v>
      </c>
      <c r="R69" s="241">
        <v>1333.03</v>
      </c>
      <c r="S69" s="241"/>
      <c r="T69" s="241"/>
      <c r="U69" s="241"/>
      <c r="V69" s="241"/>
      <c r="W69" s="241"/>
      <c r="X69" s="241"/>
      <c r="Y69" s="241"/>
      <c r="Z69" s="241">
        <v>43</v>
      </c>
      <c r="AA69" s="241">
        <v>43434</v>
      </c>
      <c r="AB69" s="241" t="e">
        <f>ROUND((AA69-#REF!)/30.5,0)</f>
        <v>#REF!</v>
      </c>
      <c r="AC69" s="241">
        <v>39</v>
      </c>
      <c r="AD69" s="241">
        <v>43511</v>
      </c>
      <c r="AE69" s="241">
        <v>-2</v>
      </c>
      <c r="AF69" s="241">
        <v>28</v>
      </c>
      <c r="AG69" s="241">
        <v>43670</v>
      </c>
      <c r="AH69" s="241">
        <v>3</v>
      </c>
      <c r="AI69" s="241">
        <v>19</v>
      </c>
      <c r="AJ69" s="241">
        <v>43892</v>
      </c>
      <c r="AK69" s="241">
        <v>10</v>
      </c>
      <c r="AL69" s="241"/>
      <c r="AM69" s="241"/>
      <c r="AN69" s="241"/>
      <c r="AO69" s="241"/>
      <c r="AP69" s="241"/>
      <c r="AQ69" s="241"/>
      <c r="AR69" s="241"/>
      <c r="AS69" s="241"/>
      <c r="AT69" s="241"/>
    </row>
    <row r="70" spans="1:46">
      <c r="A70" s="111">
        <v>2497</v>
      </c>
      <c r="B70" s="111" t="s">
        <v>15</v>
      </c>
      <c r="C70" s="241">
        <v>3</v>
      </c>
      <c r="D70" s="241">
        <v>1346.5</v>
      </c>
      <c r="E70" s="241">
        <v>1975.3999999999999</v>
      </c>
      <c r="F70" s="241">
        <v>10.9</v>
      </c>
      <c r="G70" s="241">
        <v>16.975000000000001</v>
      </c>
      <c r="H70" s="241">
        <v>46.36</v>
      </c>
      <c r="I70" s="241">
        <v>57.15</v>
      </c>
      <c r="J70" s="241">
        <v>33.270000000000003</v>
      </c>
      <c r="K70" s="241"/>
      <c r="L70" s="241"/>
      <c r="M70" s="241"/>
      <c r="N70" s="241"/>
      <c r="O70" s="241"/>
      <c r="P70" s="241">
        <f>QUARTILE(S62:S71,1)</f>
        <v>868.33</v>
      </c>
      <c r="Q70" s="241">
        <v>770.04</v>
      </c>
      <c r="R70" s="241">
        <v>434.9</v>
      </c>
      <c r="S70" s="241">
        <v>1602.25</v>
      </c>
      <c r="T70" s="241"/>
      <c r="U70" s="241"/>
      <c r="V70" s="241"/>
      <c r="W70" s="241"/>
      <c r="X70" s="241"/>
      <c r="Y70" s="241"/>
      <c r="Z70" s="241">
        <v>43</v>
      </c>
      <c r="AA70" s="241">
        <v>43559</v>
      </c>
      <c r="AB70" s="241" t="e">
        <f>ROUND((AA70-#REF!)/30.5,0)</f>
        <v>#REF!</v>
      </c>
      <c r="AC70" s="241">
        <v>43</v>
      </c>
      <c r="AD70" s="241">
        <v>43587</v>
      </c>
      <c r="AE70" s="241">
        <v>0</v>
      </c>
      <c r="AF70" s="241">
        <v>43</v>
      </c>
      <c r="AG70" s="241">
        <v>43613</v>
      </c>
      <c r="AH70" s="241">
        <v>1</v>
      </c>
      <c r="AI70" s="241">
        <v>36</v>
      </c>
      <c r="AJ70" s="241">
        <v>43833</v>
      </c>
      <c r="AK70" s="241">
        <v>8</v>
      </c>
      <c r="AL70" s="241"/>
      <c r="AM70" s="241"/>
      <c r="AN70" s="241"/>
      <c r="AO70" s="241"/>
      <c r="AP70" s="241"/>
      <c r="AQ70" s="241"/>
      <c r="AR70" s="241"/>
      <c r="AS70" s="241"/>
      <c r="AT70" s="241"/>
    </row>
    <row r="71" spans="1:46">
      <c r="A71" s="111">
        <v>2504</v>
      </c>
      <c r="B71" s="111" t="s">
        <v>17</v>
      </c>
      <c r="C71" s="241">
        <v>3</v>
      </c>
      <c r="D71" s="241">
        <v>953</v>
      </c>
      <c r="E71" s="241">
        <v>2516.9</v>
      </c>
      <c r="F71" s="241">
        <v>3.1749999999999998</v>
      </c>
      <c r="G71" s="241">
        <v>7.75</v>
      </c>
      <c r="H71" s="241">
        <v>83.58</v>
      </c>
      <c r="I71" s="241">
        <v>34.909999999999997</v>
      </c>
      <c r="J71" s="241">
        <v>43</v>
      </c>
      <c r="K71" s="241"/>
      <c r="L71" s="241"/>
      <c r="M71" s="241"/>
      <c r="N71" s="241"/>
      <c r="O71" s="241"/>
      <c r="P71" s="241">
        <f>MEDIAN(S62:S73)</f>
        <v>1039.6099999999999</v>
      </c>
      <c r="Q71" s="241">
        <v>776.45</v>
      </c>
      <c r="R71" s="241">
        <v>581.07000000000005</v>
      </c>
      <c r="S71" s="241">
        <v>1039.6099999999999</v>
      </c>
      <c r="T71" s="241"/>
      <c r="U71" s="241"/>
      <c r="V71" s="241"/>
      <c r="W71" s="241"/>
      <c r="X71" s="241"/>
      <c r="Y71" s="241"/>
      <c r="Z71" s="241">
        <v>42</v>
      </c>
      <c r="AA71" s="241">
        <v>43566</v>
      </c>
      <c r="AB71" s="241" t="e">
        <f>ROUND((AA71-#REF!)/30.5,0)</f>
        <v>#REF!</v>
      </c>
      <c r="AC71" s="241">
        <v>42</v>
      </c>
      <c r="AD71" s="241">
        <v>43594</v>
      </c>
      <c r="AE71" s="241">
        <v>0</v>
      </c>
      <c r="AF71" s="241">
        <v>42</v>
      </c>
      <c r="AG71" s="241">
        <v>43620</v>
      </c>
      <c r="AH71" s="241">
        <v>1</v>
      </c>
      <c r="AI71" s="241">
        <v>38</v>
      </c>
      <c r="AJ71" s="241">
        <v>43791</v>
      </c>
      <c r="AK71" s="241">
        <v>6</v>
      </c>
      <c r="AL71" s="241"/>
      <c r="AM71" s="241"/>
      <c r="AN71" s="241"/>
      <c r="AO71" s="241"/>
      <c r="AP71" s="241"/>
      <c r="AQ71" s="241"/>
      <c r="AR71" s="241"/>
      <c r="AS71" s="241"/>
      <c r="AT71" s="241"/>
    </row>
    <row r="72" spans="1:46">
      <c r="A72" s="111">
        <v>2503</v>
      </c>
      <c r="B72" s="111" t="s">
        <v>49</v>
      </c>
      <c r="C72" s="241">
        <v>2</v>
      </c>
      <c r="D72" s="241">
        <v>1146.9000000000001</v>
      </c>
      <c r="E72" s="241">
        <v>1226.4000000000001</v>
      </c>
      <c r="F72" s="241">
        <v>1.81</v>
      </c>
      <c r="G72" s="241">
        <v>2.66</v>
      </c>
      <c r="H72" s="241">
        <v>40.590000000000003</v>
      </c>
      <c r="I72" s="241">
        <v>37.24</v>
      </c>
      <c r="J72" s="241"/>
      <c r="K72" s="241"/>
      <c r="L72" s="241"/>
      <c r="M72" s="241"/>
      <c r="N72" s="241"/>
      <c r="O72" s="241"/>
      <c r="P72" s="241"/>
      <c r="Q72" s="241">
        <v>1259.02</v>
      </c>
      <c r="R72" s="241">
        <v>676.17</v>
      </c>
      <c r="S72" s="241"/>
      <c r="T72" s="241"/>
      <c r="U72" s="241"/>
      <c r="V72" s="241"/>
      <c r="W72" s="241"/>
      <c r="X72" s="241"/>
      <c r="Y72" s="241"/>
      <c r="Z72" s="241">
        <v>40</v>
      </c>
      <c r="AA72" s="241">
        <v>43566</v>
      </c>
      <c r="AB72" s="241" t="e">
        <f>ROUND((AA72-#REF!)/30.5,0)</f>
        <v>#REF!</v>
      </c>
      <c r="AC72" s="241">
        <v>40</v>
      </c>
      <c r="AD72" s="241">
        <v>43566</v>
      </c>
      <c r="AE72" s="241">
        <v>-1</v>
      </c>
      <c r="AF72" s="241">
        <v>40</v>
      </c>
      <c r="AG72" s="241">
        <v>43594</v>
      </c>
      <c r="AH72" s="241"/>
      <c r="AI72" s="241"/>
      <c r="AJ72" s="241"/>
      <c r="AK72" s="241"/>
      <c r="AL72" s="241"/>
      <c r="AM72" s="241"/>
      <c r="AN72" s="241"/>
      <c r="AO72" s="241"/>
      <c r="AP72" s="241"/>
      <c r="AQ72" s="241"/>
      <c r="AR72" s="241"/>
      <c r="AS72" s="241"/>
      <c r="AT72" s="241"/>
    </row>
    <row r="73" spans="1:46">
      <c r="A73" s="111">
        <v>2509</v>
      </c>
      <c r="B73" s="111" t="s">
        <v>61</v>
      </c>
      <c r="C73" s="241">
        <v>2</v>
      </c>
      <c r="D73" s="241">
        <v>1034.5999999999999</v>
      </c>
      <c r="E73" s="241">
        <v>1429.6000000000001</v>
      </c>
      <c r="F73" s="241">
        <v>2.2400000000000002</v>
      </c>
      <c r="G73" s="241">
        <v>2.8</v>
      </c>
      <c r="H73" s="241">
        <v>37.47</v>
      </c>
      <c r="I73" s="241">
        <v>41.31</v>
      </c>
      <c r="J73" s="241"/>
      <c r="K73" s="241"/>
      <c r="L73" s="241"/>
      <c r="M73" s="241"/>
      <c r="N73" s="241"/>
      <c r="O73" s="241"/>
      <c r="P73" s="241"/>
      <c r="Q73" s="241">
        <v>1446.48</v>
      </c>
      <c r="R73" s="241">
        <v>1314.54</v>
      </c>
      <c r="S73" s="241"/>
      <c r="T73" s="241"/>
      <c r="U73" s="241"/>
      <c r="V73" s="241"/>
      <c r="W73" s="241"/>
      <c r="X73" s="241"/>
      <c r="Y73" s="241"/>
      <c r="Z73" s="241">
        <v>37</v>
      </c>
      <c r="AA73" s="241">
        <v>43574</v>
      </c>
      <c r="AB73" s="241" t="e">
        <f>ROUND((AA73-#REF!)/30.5,0)</f>
        <v>#REF!</v>
      </c>
      <c r="AC73" s="241">
        <v>37</v>
      </c>
      <c r="AD73" s="241">
        <v>43574</v>
      </c>
      <c r="AE73" s="241">
        <v>-1</v>
      </c>
      <c r="AF73" s="241"/>
      <c r="AG73" s="241"/>
      <c r="AH73" s="241"/>
      <c r="AI73" s="241"/>
      <c r="AJ73" s="241"/>
      <c r="AK73" s="241"/>
      <c r="AL73" s="241"/>
      <c r="AM73" s="241"/>
      <c r="AN73" s="241"/>
      <c r="AO73" s="241"/>
      <c r="AP73" s="241"/>
      <c r="AQ73" s="241"/>
      <c r="AR73" s="241"/>
      <c r="AS73" s="241"/>
      <c r="AT73" s="241"/>
    </row>
    <row r="74" spans="1:46">
      <c r="A74" s="111">
        <v>2388</v>
      </c>
      <c r="B74" s="111" t="s">
        <v>62</v>
      </c>
      <c r="C74" s="241">
        <v>2</v>
      </c>
      <c r="D74" s="241">
        <v>1402.5</v>
      </c>
      <c r="E74" s="241">
        <v>1437.3</v>
      </c>
      <c r="F74" s="241">
        <v>3.5999999999999996</v>
      </c>
      <c r="G74" s="241">
        <v>2.3000000000000003</v>
      </c>
      <c r="H74" s="241">
        <v>61.88</v>
      </c>
      <c r="I74" s="241">
        <v>53.35</v>
      </c>
      <c r="J74" s="241"/>
      <c r="K74" s="241"/>
      <c r="L74" s="241"/>
      <c r="M74" s="241"/>
      <c r="N74" s="241"/>
      <c r="O74" s="241"/>
      <c r="P74" s="241"/>
      <c r="Q74" s="241">
        <v>1912.64</v>
      </c>
      <c r="R74" s="241">
        <v>1589.78</v>
      </c>
      <c r="S74" s="241"/>
      <c r="T74" s="241"/>
      <c r="U74" s="241"/>
      <c r="V74" s="241"/>
      <c r="W74" s="241"/>
      <c r="X74" s="241"/>
      <c r="Y74" s="241"/>
      <c r="Z74" s="241">
        <v>44</v>
      </c>
      <c r="AA74" s="241">
        <v>43434</v>
      </c>
      <c r="AB74" s="241" t="e">
        <f>ROUND((AA74-#REF!)/30.5,0)</f>
        <v>#REF!</v>
      </c>
      <c r="AC74" s="241">
        <v>39</v>
      </c>
      <c r="AD74" s="241">
        <v>43615</v>
      </c>
      <c r="AE74" s="241">
        <v>0</v>
      </c>
      <c r="AF74" s="241"/>
      <c r="AG74" s="241"/>
      <c r="AH74" s="241"/>
      <c r="AI74" s="241"/>
      <c r="AJ74" s="241"/>
      <c r="AK74" s="241"/>
      <c r="AL74" s="241"/>
      <c r="AM74" s="241"/>
      <c r="AN74" s="241"/>
      <c r="AO74" s="241"/>
      <c r="AP74" s="241"/>
      <c r="AQ74" s="241"/>
      <c r="AR74" s="241"/>
      <c r="AS74" s="241"/>
      <c r="AT74" s="241"/>
    </row>
    <row r="75" spans="1:46">
      <c r="A75" s="111">
        <v>2532</v>
      </c>
      <c r="B75" s="111" t="s">
        <v>76</v>
      </c>
      <c r="C75" s="241">
        <v>3</v>
      </c>
      <c r="D75" s="241">
        <v>1086.8000000000002</v>
      </c>
      <c r="E75" s="241">
        <v>1271</v>
      </c>
      <c r="F75" s="241">
        <v>9.7249999999999996</v>
      </c>
      <c r="G75" s="241">
        <v>7.35</v>
      </c>
      <c r="H75" s="241">
        <v>77.13</v>
      </c>
      <c r="I75" s="241">
        <v>68.23</v>
      </c>
      <c r="J75" s="241">
        <v>74.819999999999993</v>
      </c>
      <c r="K75" s="241"/>
      <c r="L75" s="241"/>
      <c r="M75" s="241"/>
      <c r="N75" s="241"/>
      <c r="O75" s="241"/>
      <c r="P75" s="241">
        <f>MEDIAN(Q69:Q80)</f>
        <v>1090.7950000000001</v>
      </c>
      <c r="Q75" s="241">
        <v>897.8</v>
      </c>
      <c r="R75" s="241">
        <v>583.76</v>
      </c>
      <c r="S75" s="241">
        <v>482.52</v>
      </c>
      <c r="T75" s="241"/>
      <c r="U75" s="241"/>
      <c r="V75" s="241"/>
      <c r="W75" s="241"/>
      <c r="X75" s="241"/>
      <c r="Y75" s="241"/>
      <c r="Z75" s="241">
        <v>31</v>
      </c>
      <c r="AA75" s="241">
        <v>43601</v>
      </c>
      <c r="AB75" s="241" t="e">
        <f>ROUND((AA75-#REF!)/30.5,0)</f>
        <v>#REF!</v>
      </c>
      <c r="AC75" s="241">
        <v>29</v>
      </c>
      <c r="AD75" s="241">
        <v>43629</v>
      </c>
      <c r="AE75" s="241">
        <v>0</v>
      </c>
      <c r="AF75" s="241">
        <v>26</v>
      </c>
      <c r="AG75" s="241">
        <v>43746</v>
      </c>
      <c r="AH75" s="241">
        <v>4</v>
      </c>
      <c r="AI75" s="241">
        <v>25</v>
      </c>
      <c r="AJ75" s="241">
        <v>43857</v>
      </c>
      <c r="AK75" s="241">
        <v>7</v>
      </c>
      <c r="AL75" s="241"/>
      <c r="AM75" s="241"/>
      <c r="AN75" s="241"/>
      <c r="AO75" s="241"/>
      <c r="AP75" s="241"/>
      <c r="AQ75" s="241"/>
      <c r="AR75" s="241"/>
      <c r="AS75" s="241"/>
      <c r="AT75" s="241"/>
    </row>
    <row r="76" spans="1:46">
      <c r="A76" s="111">
        <v>2533</v>
      </c>
      <c r="B76" s="111" t="s">
        <v>77</v>
      </c>
      <c r="C76" s="241">
        <v>3</v>
      </c>
      <c r="D76" s="241">
        <v>960.90000000000009</v>
      </c>
      <c r="E76" s="241">
        <v>1000.3</v>
      </c>
      <c r="F76" s="241">
        <v>4.6750000000000007</v>
      </c>
      <c r="G76" s="241">
        <v>6.7249999999999996</v>
      </c>
      <c r="H76" s="241">
        <v>43.13</v>
      </c>
      <c r="I76" s="241">
        <v>57.34</v>
      </c>
      <c r="J76" s="241">
        <v>69.510000000000005</v>
      </c>
      <c r="K76" s="241"/>
      <c r="L76" s="241"/>
      <c r="M76" s="241"/>
      <c r="N76" s="241"/>
      <c r="O76" s="241"/>
      <c r="P76" s="241">
        <f>STDEV(R71:R137)</f>
        <v>407.08111105238135</v>
      </c>
      <c r="Q76" s="241">
        <v>1307.51</v>
      </c>
      <c r="R76" s="241">
        <v>1207.54</v>
      </c>
      <c r="S76" s="241">
        <v>1231.42</v>
      </c>
      <c r="T76" s="241"/>
      <c r="U76" s="241"/>
      <c r="V76" s="241"/>
      <c r="W76" s="241"/>
      <c r="X76" s="241"/>
      <c r="Y76" s="241"/>
      <c r="Z76" s="241">
        <v>36</v>
      </c>
      <c r="AA76" s="241">
        <v>43602</v>
      </c>
      <c r="AB76" s="241" t="e">
        <f>ROUND((AA76-#REF!)/30.5,0)</f>
        <v>#REF!</v>
      </c>
      <c r="AC76" s="241">
        <v>35</v>
      </c>
      <c r="AD76" s="241">
        <v>43630</v>
      </c>
      <c r="AE76" s="241">
        <v>0</v>
      </c>
      <c r="AF76" s="241">
        <v>34</v>
      </c>
      <c r="AG76" s="241">
        <v>43693</v>
      </c>
      <c r="AH76" s="241">
        <v>2</v>
      </c>
      <c r="AI76" s="241">
        <v>31</v>
      </c>
      <c r="AJ76" s="241">
        <v>43740</v>
      </c>
      <c r="AK76" s="241">
        <v>4</v>
      </c>
      <c r="AL76" s="241"/>
      <c r="AM76" s="241"/>
      <c r="AN76" s="241"/>
      <c r="AO76" s="241"/>
      <c r="AP76" s="241"/>
      <c r="AQ76" s="241"/>
      <c r="AR76" s="241"/>
      <c r="AS76" s="241"/>
      <c r="AT76" s="241"/>
    </row>
    <row r="77" spans="1:46">
      <c r="A77" s="111">
        <v>2501</v>
      </c>
      <c r="B77" s="111" t="s">
        <v>60</v>
      </c>
      <c r="C77" s="241">
        <v>2</v>
      </c>
      <c r="D77" s="241">
        <v>1099.8</v>
      </c>
      <c r="E77" s="241">
        <v>1190.5</v>
      </c>
      <c r="F77" s="241">
        <v>1.88</v>
      </c>
      <c r="G77" s="241">
        <v>3.47</v>
      </c>
      <c r="H77" s="241">
        <v>78.2</v>
      </c>
      <c r="I77" s="241">
        <v>51.88</v>
      </c>
      <c r="J77" s="241"/>
      <c r="K77" s="241"/>
      <c r="L77" s="241"/>
      <c r="M77" s="241"/>
      <c r="N77" s="241"/>
      <c r="O77" s="241"/>
      <c r="P77" s="241"/>
      <c r="Q77" s="241">
        <v>555.95000000000005</v>
      </c>
      <c r="R77" s="241">
        <v>437.12</v>
      </c>
      <c r="S77" s="241"/>
      <c r="T77" s="241"/>
      <c r="U77" s="241"/>
      <c r="V77" s="241"/>
      <c r="W77" s="241"/>
      <c r="X77" s="241"/>
      <c r="Y77" s="241"/>
      <c r="Z77" s="241">
        <v>34</v>
      </c>
      <c r="AA77" s="241">
        <v>43560</v>
      </c>
      <c r="AB77" s="241" t="e">
        <f>ROUND((AA77-#REF!)/30.5,0)</f>
        <v>#REF!</v>
      </c>
      <c r="AC77" s="241">
        <v>33</v>
      </c>
      <c r="AD77" s="241">
        <v>43643</v>
      </c>
      <c r="AE77" s="241">
        <v>0</v>
      </c>
      <c r="AF77" s="241"/>
      <c r="AG77" s="241"/>
      <c r="AH77" s="241"/>
      <c r="AI77" s="241"/>
      <c r="AJ77" s="241"/>
      <c r="AK77" s="241"/>
      <c r="AL77" s="241"/>
      <c r="AM77" s="241"/>
      <c r="AN77" s="241"/>
      <c r="AO77" s="241"/>
      <c r="AP77" s="241"/>
      <c r="AQ77" s="241"/>
      <c r="AR77" s="241"/>
      <c r="AS77" s="241"/>
      <c r="AT77" s="241"/>
    </row>
    <row r="78" spans="1:46">
      <c r="A78" s="111">
        <v>2541</v>
      </c>
      <c r="B78" s="111" t="s">
        <v>18</v>
      </c>
      <c r="C78" s="241">
        <v>3</v>
      </c>
      <c r="D78" s="241">
        <v>848.40000000000009</v>
      </c>
      <c r="E78" s="241">
        <v>868.1</v>
      </c>
      <c r="F78" s="241">
        <v>3.8</v>
      </c>
      <c r="G78" s="241">
        <v>9.7249999999999996</v>
      </c>
      <c r="H78" s="241">
        <v>91.82</v>
      </c>
      <c r="I78" s="241">
        <v>46.14</v>
      </c>
      <c r="J78" s="241">
        <v>38.65</v>
      </c>
      <c r="K78" s="241"/>
      <c r="L78" s="241"/>
      <c r="M78" s="241"/>
      <c r="N78" s="241"/>
      <c r="O78" s="241"/>
      <c r="P78" s="241">
        <f>QUARTILE(Q70:Q81,3)</f>
        <v>1342.2525000000001</v>
      </c>
      <c r="Q78" s="241">
        <v>1117.06</v>
      </c>
      <c r="R78" s="241">
        <v>817.18</v>
      </c>
      <c r="S78" s="241">
        <v>927.24</v>
      </c>
      <c r="T78" s="241"/>
      <c r="U78" s="241"/>
      <c r="V78" s="241"/>
      <c r="W78" s="241"/>
      <c r="X78" s="241"/>
      <c r="Y78" s="241"/>
      <c r="Z78" s="241">
        <v>37</v>
      </c>
      <c r="AA78" s="241">
        <v>43615</v>
      </c>
      <c r="AB78" s="241" t="e">
        <f>ROUND((AA78-#REF!)/30.5,0)</f>
        <v>#REF!</v>
      </c>
      <c r="AC78" s="241">
        <v>37</v>
      </c>
      <c r="AD78" s="241">
        <v>43643</v>
      </c>
      <c r="AE78" s="241">
        <v>0</v>
      </c>
      <c r="AF78" s="241">
        <v>37</v>
      </c>
      <c r="AG78" s="241">
        <v>43669</v>
      </c>
      <c r="AH78" s="241">
        <v>1</v>
      </c>
      <c r="AI78" s="241">
        <v>37</v>
      </c>
      <c r="AJ78" s="241">
        <v>43777</v>
      </c>
      <c r="AK78" s="241">
        <v>4</v>
      </c>
      <c r="AL78" s="241"/>
      <c r="AM78" s="241"/>
      <c r="AN78" s="241"/>
      <c r="AO78" s="241"/>
      <c r="AP78" s="241"/>
      <c r="AQ78" s="241"/>
      <c r="AR78" s="241"/>
      <c r="AS78" s="241"/>
      <c r="AT78" s="241"/>
    </row>
    <row r="79" spans="1:46">
      <c r="A79" s="111">
        <v>2596</v>
      </c>
      <c r="B79" s="111" t="s">
        <v>52</v>
      </c>
      <c r="C79" s="241">
        <v>2</v>
      </c>
      <c r="D79" s="241">
        <v>874</v>
      </c>
      <c r="E79" s="241">
        <v>1281.2</v>
      </c>
      <c r="F79" s="241">
        <v>2.1</v>
      </c>
      <c r="G79" s="241">
        <v>2.2400000000000002</v>
      </c>
      <c r="H79" s="241">
        <v>47.32</v>
      </c>
      <c r="I79" s="241">
        <v>55.19</v>
      </c>
      <c r="J79" s="241"/>
      <c r="K79" s="241"/>
      <c r="L79" s="241"/>
      <c r="M79" s="241"/>
      <c r="N79" s="241"/>
      <c r="O79" s="241"/>
      <c r="P79" s="241"/>
      <c r="Q79" s="241">
        <v>1064.53</v>
      </c>
      <c r="R79" s="241">
        <v>925.21</v>
      </c>
      <c r="S79" s="241"/>
      <c r="T79" s="241"/>
      <c r="U79" s="241"/>
      <c r="V79" s="241"/>
      <c r="W79" s="241"/>
      <c r="X79" s="241"/>
      <c r="Y79" s="241"/>
      <c r="Z79" s="241">
        <v>23</v>
      </c>
      <c r="AA79" s="241">
        <v>43693</v>
      </c>
      <c r="AB79" s="241" t="e">
        <f>ROUND((AA79-#REF!)/30.5,0)</f>
        <v>#REF!</v>
      </c>
      <c r="AC79" s="241">
        <v>23</v>
      </c>
      <c r="AD79" s="241">
        <v>43693</v>
      </c>
      <c r="AE79" s="241">
        <v>-2</v>
      </c>
      <c r="AF79" s="241">
        <v>21</v>
      </c>
      <c r="AG79" s="241">
        <v>43878</v>
      </c>
      <c r="AH79" s="241">
        <v>4</v>
      </c>
      <c r="AI79" s="241"/>
      <c r="AJ79" s="241"/>
      <c r="AK79" s="241"/>
      <c r="AL79" s="241"/>
      <c r="AM79" s="241"/>
      <c r="AN79" s="241"/>
      <c r="AO79" s="241"/>
      <c r="AP79" s="241"/>
      <c r="AQ79" s="241"/>
      <c r="AR79" s="241"/>
      <c r="AS79" s="241"/>
      <c r="AT79" s="241"/>
    </row>
    <row r="80" spans="1:46">
      <c r="A80" s="111">
        <v>2595</v>
      </c>
      <c r="B80" s="111" t="s">
        <v>53</v>
      </c>
      <c r="C80" s="241">
        <v>3</v>
      </c>
      <c r="D80" s="241">
        <v>988.7</v>
      </c>
      <c r="E80" s="241">
        <v>943.8</v>
      </c>
      <c r="F80" s="241">
        <v>3.34</v>
      </c>
      <c r="G80" s="241">
        <v>17.78</v>
      </c>
      <c r="H80" s="241">
        <v>56.06</v>
      </c>
      <c r="I80" s="241">
        <v>97.95</v>
      </c>
      <c r="J80" s="241">
        <v>69.62</v>
      </c>
      <c r="K80" s="241"/>
      <c r="L80" s="241"/>
      <c r="M80" s="241"/>
      <c r="N80" s="241"/>
      <c r="O80" s="241"/>
      <c r="P80" s="241"/>
      <c r="Q80" s="241">
        <v>998.35</v>
      </c>
      <c r="R80" s="241">
        <v>743.71</v>
      </c>
      <c r="S80" s="241">
        <v>974.53</v>
      </c>
      <c r="T80" s="241"/>
      <c r="U80" s="241"/>
      <c r="V80" s="241"/>
      <c r="W80" s="241"/>
      <c r="X80" s="241"/>
      <c r="Y80" s="241"/>
      <c r="Z80" s="241">
        <v>30</v>
      </c>
      <c r="AA80" s="241">
        <v>43685</v>
      </c>
      <c r="AB80" s="241" t="e">
        <f>ROUND((AA80-#REF!)/30.5,0)</f>
        <v>#REF!</v>
      </c>
      <c r="AC80" s="241">
        <v>28</v>
      </c>
      <c r="AD80" s="241">
        <v>43753</v>
      </c>
      <c r="AE80" s="241">
        <v>0</v>
      </c>
      <c r="AF80" s="241">
        <v>25</v>
      </c>
      <c r="AG80" s="241">
        <v>43781</v>
      </c>
      <c r="AH80" s="241">
        <v>1</v>
      </c>
      <c r="AI80" s="241">
        <v>25</v>
      </c>
      <c r="AJ80" s="241">
        <v>43881</v>
      </c>
      <c r="AK80" s="241">
        <v>4</v>
      </c>
      <c r="AL80" s="241"/>
      <c r="AM80" s="241"/>
      <c r="AN80" s="241"/>
      <c r="AO80" s="241"/>
      <c r="AP80" s="241"/>
      <c r="AQ80" s="241"/>
      <c r="AR80" s="241"/>
      <c r="AS80" s="241"/>
      <c r="AT80" s="241"/>
    </row>
    <row r="81" spans="1:46">
      <c r="A81" s="111">
        <v>2636</v>
      </c>
      <c r="B81" s="111" t="s">
        <v>80</v>
      </c>
      <c r="C81" s="241">
        <v>2</v>
      </c>
      <c r="D81" s="241">
        <v>652.1</v>
      </c>
      <c r="E81" s="241">
        <v>734.2</v>
      </c>
      <c r="F81" s="241">
        <v>1.75</v>
      </c>
      <c r="G81" s="241">
        <v>2.5499999999999998</v>
      </c>
      <c r="H81" s="241">
        <v>27.39</v>
      </c>
      <c r="I81" s="241">
        <v>29.58</v>
      </c>
      <c r="J81" s="241"/>
      <c r="K81" s="241"/>
      <c r="L81" s="241"/>
      <c r="M81" s="241"/>
      <c r="N81" s="241"/>
      <c r="O81" s="241"/>
      <c r="P81" s="241"/>
      <c r="Q81" s="241">
        <v>1772.96</v>
      </c>
      <c r="R81" s="241">
        <v>1742.05</v>
      </c>
      <c r="S81" s="241"/>
      <c r="T81" s="241"/>
      <c r="U81" s="241"/>
      <c r="V81" s="241"/>
      <c r="W81" s="241"/>
      <c r="X81" s="241"/>
      <c r="Y81" s="241"/>
      <c r="Z81" s="241">
        <v>30</v>
      </c>
      <c r="AA81" s="241">
        <v>43749</v>
      </c>
      <c r="AB81" s="241" t="e">
        <f>ROUND((AA81-#REF!)/30.5,0)</f>
        <v>#REF!</v>
      </c>
      <c r="AC81" s="241">
        <v>26</v>
      </c>
      <c r="AD81" s="241">
        <v>43791</v>
      </c>
      <c r="AE81" s="241">
        <v>0</v>
      </c>
      <c r="AF81" s="241">
        <v>22</v>
      </c>
      <c r="AG81" s="241">
        <v>43872</v>
      </c>
      <c r="AH81" s="241">
        <v>3</v>
      </c>
      <c r="AI81" s="241"/>
      <c r="AJ81" s="241"/>
      <c r="AK81" s="241"/>
      <c r="AL81" s="241"/>
      <c r="AM81" s="241"/>
      <c r="AN81" s="241"/>
      <c r="AO81" s="241"/>
      <c r="AP81" s="241"/>
      <c r="AQ81" s="241"/>
      <c r="AR81" s="241"/>
      <c r="AS81" s="241"/>
      <c r="AT81" s="241"/>
    </row>
    <row r="82" spans="1:46">
      <c r="A82" s="111">
        <v>2428</v>
      </c>
      <c r="B82" s="111" t="s">
        <v>78</v>
      </c>
      <c r="C82" s="241">
        <v>3</v>
      </c>
      <c r="D82" s="241">
        <v>642</v>
      </c>
      <c r="E82" s="241">
        <v>227.2</v>
      </c>
      <c r="F82" s="241">
        <v>0.35000000000000003</v>
      </c>
      <c r="G82" s="241">
        <v>1.825</v>
      </c>
      <c r="H82" s="241">
        <v>44.56</v>
      </c>
      <c r="I82" s="241">
        <v>38.96</v>
      </c>
      <c r="J82" s="241">
        <v>48.65</v>
      </c>
      <c r="K82" s="241"/>
      <c r="L82" s="241"/>
      <c r="M82" s="241"/>
      <c r="N82" s="241"/>
      <c r="O82" s="241"/>
      <c r="P82" s="241">
        <f>QUARTILE(Q78:Q83,1)</f>
        <v>1077.6624999999999</v>
      </c>
      <c r="Q82" s="241">
        <v>1325.75</v>
      </c>
      <c r="R82" s="241">
        <v>1110.21</v>
      </c>
      <c r="S82" s="241">
        <v>1058.1199999999999</v>
      </c>
      <c r="T82" s="241"/>
      <c r="U82" s="241"/>
      <c r="V82" s="241"/>
      <c r="W82" s="241"/>
      <c r="X82" s="241"/>
      <c r="Y82" s="241"/>
      <c r="Z82" s="241">
        <v>43</v>
      </c>
      <c r="AA82" s="241">
        <v>43483</v>
      </c>
      <c r="AB82" s="241" t="e">
        <f>ROUND((AA82-#REF!)/30.5,0)</f>
        <v>#REF!</v>
      </c>
      <c r="AC82" s="241">
        <v>42</v>
      </c>
      <c r="AD82" s="241">
        <v>43556</v>
      </c>
      <c r="AE82" s="241">
        <v>-2</v>
      </c>
      <c r="AF82" s="241">
        <v>41</v>
      </c>
      <c r="AG82" s="241">
        <v>43647</v>
      </c>
      <c r="AH82" s="241">
        <v>1</v>
      </c>
      <c r="AI82" s="241">
        <v>39</v>
      </c>
      <c r="AJ82" s="241">
        <v>43731</v>
      </c>
      <c r="AK82" s="241">
        <v>3</v>
      </c>
      <c r="AL82" s="241">
        <v>34</v>
      </c>
      <c r="AM82" s="241">
        <v>43822</v>
      </c>
      <c r="AN82" s="241">
        <v>6</v>
      </c>
      <c r="AO82" s="241">
        <v>32</v>
      </c>
      <c r="AP82" s="241">
        <v>43885</v>
      </c>
      <c r="AQ82" s="241">
        <v>8</v>
      </c>
      <c r="AR82" s="241"/>
      <c r="AS82" s="241"/>
      <c r="AT82" s="241"/>
    </row>
    <row r="83" spans="1:46">
      <c r="A83" s="111">
        <v>2652</v>
      </c>
      <c r="B83" s="111" t="s">
        <v>47</v>
      </c>
      <c r="C83" s="241">
        <v>2</v>
      </c>
      <c r="D83" s="241">
        <v>1143.0999999999999</v>
      </c>
      <c r="E83" s="241">
        <v>1008.3</v>
      </c>
      <c r="F83" s="241">
        <v>2.4500000000000002</v>
      </c>
      <c r="G83" s="241">
        <v>3.47</v>
      </c>
      <c r="H83" s="241">
        <v>43.55</v>
      </c>
      <c r="I83" s="241">
        <v>60.4</v>
      </c>
      <c r="J83" s="241"/>
      <c r="K83" s="241"/>
      <c r="L83" s="241"/>
      <c r="M83" s="241"/>
      <c r="N83" s="241"/>
      <c r="O83" s="241"/>
      <c r="P83" s="241"/>
      <c r="Q83" s="241">
        <v>2472.2399999999998</v>
      </c>
      <c r="R83" s="241">
        <v>1246.6500000000001</v>
      </c>
      <c r="S83" s="241"/>
      <c r="T83" s="241"/>
      <c r="U83" s="241"/>
      <c r="V83" s="241"/>
      <c r="W83" s="241"/>
      <c r="X83" s="241"/>
      <c r="Y83" s="241"/>
      <c r="Z83" s="241">
        <v>35</v>
      </c>
      <c r="AA83" s="241">
        <v>43769</v>
      </c>
      <c r="AB83" s="241" t="e">
        <f>ROUND((AA83-#REF!)/30.5,0)</f>
        <v>#REF!</v>
      </c>
      <c r="AC83" s="241">
        <v>35</v>
      </c>
      <c r="AD83" s="241">
        <v>43769</v>
      </c>
      <c r="AE83" s="241">
        <v>-1</v>
      </c>
      <c r="AF83" s="241">
        <v>34</v>
      </c>
      <c r="AG83" s="241">
        <v>43810</v>
      </c>
      <c r="AH83" s="241"/>
      <c r="AI83" s="241">
        <v>33</v>
      </c>
      <c r="AJ83" s="241">
        <v>43838</v>
      </c>
      <c r="AK83" s="241"/>
      <c r="AL83" s="241"/>
      <c r="AM83" s="241"/>
      <c r="AN83" s="241"/>
      <c r="AO83" s="241"/>
      <c r="AP83" s="241"/>
      <c r="AQ83" s="241"/>
      <c r="AR83" s="241"/>
      <c r="AS83" s="241"/>
      <c r="AT83" s="241"/>
    </row>
  </sheetData>
  <autoFilter ref="A1:AT83">
    <sortState ref="A2:BQ83">
      <sortCondition ref="B1:B83"/>
    </sortState>
  </autoFilter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Group_subset</vt:lpstr>
      <vt:lpstr>Main</vt:lpstr>
      <vt:lpstr>All_MA_subset</vt:lpstr>
      <vt:lpstr>All_MA_subset_ALSFRSR</vt:lpstr>
      <vt:lpstr>TX_ALSFRSR_date_table</vt:lpstr>
      <vt:lpstr>TX_ALSFRSR_corresponding_table</vt:lpstr>
      <vt:lpstr>TX_cytokine_date_table</vt:lpstr>
      <vt:lpstr>Tx_cytokine_full_table</vt:lpstr>
      <vt:lpstr>Tx_ALSFRSR_imputed</vt:lpstr>
      <vt:lpstr>Tx_cytokine_model</vt:lpstr>
      <vt:lpstr>Tx_covariates</vt:lpstr>
      <vt:lpstr>Tx_change_slope</vt:lpstr>
      <vt:lpstr>Tx_phase_change_slope</vt:lpstr>
      <vt:lpstr>Tx_PMS_ALSFRS</vt:lpstr>
      <vt:lpstr>Tx_PMS_ALSFRS_table</vt:lpstr>
      <vt:lpstr>Tx_PMS_cytokine_full</vt:lpstr>
      <vt:lpstr>Tx_PMS_cytokine_full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2020-06-03T03:22:23Z</dcterms:created>
  <dcterms:modified xsi:type="dcterms:W3CDTF">2020-12-08T02:11:16Z</dcterms:modified>
</cp:coreProperties>
</file>